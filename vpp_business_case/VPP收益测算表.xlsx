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20" tabRatio="500" activeTab="4"/>
  </bookViews>
  <sheets>
    <sheet name="测算总览" sheetId="1" r:id="rId1"/>
    <sheet name="单位经济性测算" sheetId="2" r:id="rId2"/>
    <sheet name="聚合规模与收益" sheetId="3" r:id="rId3"/>
    <sheet name="增长轨迹" sheetId="4" r:id="rId4"/>
    <sheet name="典型日演示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<sst xmlns="http://schemas.openxmlformats.org/spreadsheetml/2006/main" count="195" uniqueCount="128">
  <si>
    <r>
      <rPr>
        <b/>
        <sz val="15"/>
        <color rgb="FFFFFFFF"/>
        <rFont val="Noto Sans CJK SC"/>
        <charset val="134"/>
      </rPr>
      <t xml:space="preserve">星星充电 </t>
    </r>
    <r>
      <rPr>
        <b/>
        <sz val="15"/>
        <color rgb="FFFFFFFF"/>
        <rFont val="Arial"/>
        <charset val="1"/>
      </rPr>
      <t>· VPP</t>
    </r>
    <r>
      <rPr>
        <b/>
        <sz val="15"/>
        <color rgb="FFFFFFFF"/>
        <rFont val="Noto Sans CJK SC"/>
        <charset val="134"/>
      </rPr>
      <t xml:space="preserve">收益测算总览 </t>
    </r>
    <r>
      <rPr>
        <b/>
        <sz val="15"/>
        <color rgb="FFFFFFFF"/>
        <rFont val="Arial"/>
        <charset val="1"/>
      </rPr>
      <t xml:space="preserve">(AUD, </t>
    </r>
    <r>
      <rPr>
        <b/>
        <sz val="15"/>
        <color rgb="FFFFFFFF"/>
        <rFont val="Noto Sans CJK SC"/>
        <charset val="134"/>
      </rPr>
      <t>基于</t>
    </r>
    <r>
      <rPr>
        <b/>
        <sz val="15"/>
        <color rgb="FFFFFFFF"/>
        <rFont val="Arial"/>
        <charset val="1"/>
      </rPr>
      <t>AEMO NEM NSW1</t>
    </r>
    <r>
      <rPr>
        <b/>
        <sz val="15"/>
        <color rgb="FFFFFFFF"/>
        <rFont val="Noto Sans CJK SC"/>
        <charset val="134"/>
      </rPr>
      <t>真实数据</t>
    </r>
    <r>
      <rPr>
        <b/>
        <sz val="15"/>
        <color rgb="FFFFFFFF"/>
        <rFont val="Arial"/>
        <charset val="1"/>
      </rPr>
      <t>)</t>
    </r>
  </si>
  <si>
    <r>
      <rPr>
        <sz val="9"/>
        <color rgb="FF7A7A7A"/>
        <rFont val="Noto Sans CJK SC"/>
        <charset val="134"/>
      </rPr>
      <t>数据基准：</t>
    </r>
    <r>
      <rPr>
        <sz val="9"/>
        <color rgb="FF7A7A7A"/>
        <rFont val="Arial"/>
        <charset val="1"/>
      </rPr>
      <t xml:space="preserve">AEMO DISPATCHPRICE </t>
    </r>
    <r>
      <rPr>
        <sz val="9"/>
        <color rgb="FF7A7A7A"/>
        <rFont val="Noto Sans CJK SC"/>
        <charset val="134"/>
      </rPr>
      <t>真实</t>
    </r>
    <r>
      <rPr>
        <sz val="9"/>
        <color rgb="FF7A7A7A"/>
        <rFont val="Arial"/>
        <charset val="1"/>
      </rPr>
      <t>5</t>
    </r>
    <r>
      <rPr>
        <sz val="9"/>
        <color rgb="FF7A7A7A"/>
        <rFont val="Noto Sans CJK SC"/>
        <charset val="134"/>
      </rPr>
      <t xml:space="preserve">分钟数据 </t>
    </r>
    <r>
      <rPr>
        <sz val="9"/>
        <color rgb="FF7A7A7A"/>
        <rFont val="Arial"/>
        <charset val="1"/>
      </rPr>
      <t xml:space="preserve">(NSW1, 2025 Q1, </t>
    </r>
    <r>
      <rPr>
        <sz val="9"/>
        <color rgb="FF7A7A7A"/>
        <rFont val="Noto Sans CJK SC"/>
        <charset val="134"/>
      </rPr>
      <t>含</t>
    </r>
    <r>
      <rPr>
        <sz val="9"/>
        <color rgb="FF7A7A7A"/>
        <rFont val="Arial"/>
        <charset val="1"/>
      </rPr>
      <t>RRP+8</t>
    </r>
    <r>
      <rPr>
        <sz val="9"/>
        <color rgb="FF7A7A7A"/>
        <rFont val="Noto Sans CJK SC"/>
        <charset val="134"/>
      </rPr>
      <t>个</t>
    </r>
    <r>
      <rPr>
        <sz val="9"/>
        <color rgb="FF7A7A7A"/>
        <rFont val="Arial"/>
        <charset val="1"/>
      </rPr>
      <t>FCAS</t>
    </r>
    <r>
      <rPr>
        <sz val="9"/>
        <color rgb="FF7A7A7A"/>
        <rFont val="Noto Sans CJK SC"/>
        <charset val="134"/>
      </rPr>
      <t>服务价</t>
    </r>
    <r>
      <rPr>
        <sz val="9"/>
        <color rgb="FF7A7A7A"/>
        <rFont val="Arial"/>
        <charset val="1"/>
      </rPr>
      <t xml:space="preserve">)  ·  </t>
    </r>
    <r>
      <rPr>
        <sz val="9"/>
        <color rgb="FF7A7A7A"/>
        <rFont val="Noto Sans CJK SC"/>
        <charset val="134"/>
      </rPr>
      <t>口径保守：季节</t>
    </r>
    <r>
      <rPr>
        <sz val="9"/>
        <color rgb="FF7A7A7A"/>
        <rFont val="Arial"/>
        <charset val="1"/>
      </rPr>
      <t>0.80×</t>
    </r>
    <r>
      <rPr>
        <sz val="9"/>
        <color rgb="FF7A7A7A"/>
        <rFont val="Noto Sans CJK SC"/>
        <charset val="134"/>
      </rPr>
      <t>预见性</t>
    </r>
    <r>
      <rPr>
        <sz val="9"/>
        <color rgb="FF7A7A7A"/>
        <rFont val="Arial"/>
        <charset val="1"/>
      </rPr>
      <t>0.85×</t>
    </r>
    <r>
      <rPr>
        <sz val="9"/>
        <color rgb="FF7A7A7A"/>
        <rFont val="Noto Sans CJK SC"/>
        <charset val="134"/>
      </rPr>
      <t>单循环</t>
    </r>
  </si>
  <si>
    <t>里程碑收益（运营商口径）</t>
  </si>
  <si>
    <t>阶段</t>
  </si>
  <si>
    <t>聚合规模</t>
  </si>
  <si>
    <r>
      <rPr>
        <b/>
        <sz val="10.5"/>
        <color rgb="FFFFFFFF"/>
        <rFont val="Noto Sans CJK SC"/>
        <charset val="134"/>
      </rPr>
      <t>运营商收益</t>
    </r>
    <r>
      <rPr>
        <b/>
        <sz val="10.5"/>
        <color rgb="FFFFFFFF"/>
        <rFont val="Arial"/>
        <charset val="1"/>
      </rPr>
      <t>(</t>
    </r>
    <r>
      <rPr>
        <b/>
        <sz val="10.5"/>
        <color rgb="FFFFFFFF"/>
        <rFont val="Noto Sans CJK SC"/>
        <charset val="134"/>
      </rPr>
      <t>万</t>
    </r>
    <r>
      <rPr>
        <b/>
        <sz val="10.5"/>
        <color rgb="FFFFFFFF"/>
        <rFont val="Arial"/>
        <charset val="1"/>
      </rPr>
      <t>AUD/</t>
    </r>
    <r>
      <rPr>
        <b/>
        <sz val="10.5"/>
        <color rgb="FFFFFFFF"/>
        <rFont val="Noto Sans CJK SC"/>
        <charset val="134"/>
      </rPr>
      <t>年</t>
    </r>
    <r>
      <rPr>
        <b/>
        <sz val="10.5"/>
        <color rgb="FFFFFFFF"/>
        <rFont val="Arial"/>
        <charset val="1"/>
      </rPr>
      <t>)</t>
    </r>
  </si>
  <si>
    <t>说明</t>
  </si>
  <si>
    <r>
      <rPr>
        <b/>
        <sz val="10.5"/>
        <color rgb="FF2E2E2E"/>
        <rFont val="Noto Sans CJK SC"/>
        <charset val="134"/>
      </rPr>
      <t xml:space="preserve">首批 </t>
    </r>
    <r>
      <rPr>
        <b/>
        <sz val="10.5"/>
        <color rgb="FF2E2E2E"/>
        <rFont val="Arial"/>
        <charset val="1"/>
      </rPr>
      <t xml:space="preserve">· </t>
    </r>
    <r>
      <rPr>
        <b/>
        <sz val="10.5"/>
        <color rgb="FF2E2E2E"/>
        <rFont val="Noto Sans CJK SC"/>
        <charset val="134"/>
      </rPr>
      <t>试点</t>
    </r>
  </si>
  <si>
    <t>50MW</t>
  </si>
  <si>
    <r>
      <rPr>
        <sz val="10"/>
        <color rgb="FF7A7A7A"/>
        <rFont val="Arial"/>
        <charset val="1"/>
      </rPr>
      <t xml:space="preserve">2026 Q4 </t>
    </r>
    <r>
      <rPr>
        <sz val="10"/>
        <color rgb="FF7A7A7A"/>
        <rFont val="Noto Sans CJK SC"/>
        <charset val="134"/>
      </rPr>
      <t>上线</t>
    </r>
  </si>
  <si>
    <r>
      <rPr>
        <b/>
        <sz val="10.5"/>
        <color rgb="FF2E2E2E"/>
        <rFont val="Noto Sans CJK SC"/>
        <charset val="134"/>
      </rPr>
      <t xml:space="preserve">中期 </t>
    </r>
    <r>
      <rPr>
        <b/>
        <sz val="10.5"/>
        <color rgb="FF2E2E2E"/>
        <rFont val="Arial"/>
        <charset val="1"/>
      </rPr>
      <t xml:space="preserve">· </t>
    </r>
    <r>
      <rPr>
        <b/>
        <sz val="10.5"/>
        <color rgb="FF2E2E2E"/>
        <rFont val="Noto Sans CJK SC"/>
        <charset val="134"/>
      </rPr>
      <t>储备</t>
    </r>
  </si>
  <si>
    <t>320MW</t>
  </si>
  <si>
    <t>2027–2028</t>
  </si>
  <si>
    <r>
      <rPr>
        <b/>
        <sz val="10.5"/>
        <color rgb="FF2E2E2E"/>
        <rFont val="Noto Sans CJK SC"/>
        <charset val="134"/>
      </rPr>
      <t xml:space="preserve">远期 </t>
    </r>
    <r>
      <rPr>
        <b/>
        <sz val="10.5"/>
        <color rgb="FF2E2E2E"/>
        <rFont val="Arial"/>
        <charset val="1"/>
      </rPr>
      <t xml:space="preserve">· </t>
    </r>
    <r>
      <rPr>
        <b/>
        <sz val="10.5"/>
        <color rgb="FF2E2E2E"/>
        <rFont val="Noto Sans CJK SC"/>
        <charset val="134"/>
      </rPr>
      <t>规划</t>
    </r>
  </si>
  <si>
    <t>650MW</t>
  </si>
  <si>
    <r>
      <rPr>
        <sz val="10"/>
        <color rgb="FF7A7A7A"/>
        <rFont val="Arial"/>
        <charset val="1"/>
      </rPr>
      <t>2029+ · IRP</t>
    </r>
    <r>
      <rPr>
        <sz val="10"/>
        <color rgb="FF7A7A7A"/>
        <rFont val="Noto Sans CJK SC"/>
        <charset val="134"/>
      </rPr>
      <t>独立持牌</t>
    </r>
  </si>
  <si>
    <r>
      <rPr>
        <b/>
        <sz val="12"/>
        <color rgb="FFEC6A2C"/>
        <rFont val="Noto Sans CJK SC"/>
        <charset val="134"/>
      </rPr>
      <t>关键假设（蓝色</t>
    </r>
    <r>
      <rPr>
        <b/>
        <sz val="12"/>
        <color rgb="FFEC6A2C"/>
        <rFont val="Arial"/>
        <charset val="1"/>
      </rPr>
      <t>=</t>
    </r>
    <r>
      <rPr>
        <b/>
        <sz val="12"/>
        <color rgb="FFEC6A2C"/>
        <rFont val="Noto Sans CJK SC"/>
        <charset val="134"/>
      </rPr>
      <t>可调输入）</t>
    </r>
  </si>
  <si>
    <t>参数</t>
  </si>
  <si>
    <t>数值</t>
  </si>
  <si>
    <r>
      <rPr>
        <sz val="10"/>
        <color rgb="FF2E2E2E"/>
        <rFont val="Noto Sans CJK SC"/>
        <charset val="134"/>
      </rPr>
      <t xml:space="preserve">运营商 </t>
    </r>
    <r>
      <rPr>
        <sz val="10"/>
        <color rgb="FF2E2E2E"/>
        <rFont val="Arial"/>
        <charset val="1"/>
      </rPr>
      <t xml:space="preserve">VPP </t>
    </r>
    <r>
      <rPr>
        <sz val="10"/>
        <color rgb="FF2E2E2E"/>
        <rFont val="Noto Sans CJK SC"/>
        <charset val="134"/>
      </rPr>
      <t>分成</t>
    </r>
  </si>
  <si>
    <r>
      <rPr>
        <sz val="10"/>
        <color rgb="FF2E2E2E"/>
        <rFont val="Arial"/>
        <charset val="1"/>
      </rPr>
      <t xml:space="preserve">BESS </t>
    </r>
    <r>
      <rPr>
        <sz val="10"/>
        <color rgb="FF2E2E2E"/>
        <rFont val="Noto Sans CJK SC"/>
        <charset val="134"/>
      </rPr>
      <t>运营分成（自持兜底）</t>
    </r>
  </si>
  <si>
    <t>电池往返效率</t>
  </si>
  <si>
    <r>
      <rPr>
        <sz val="10"/>
        <color rgb="FF2E2E2E"/>
        <rFont val="Noto Sans CJK SC"/>
        <charset val="134"/>
      </rPr>
      <t xml:space="preserve">季节折减 </t>
    </r>
    <r>
      <rPr>
        <sz val="10"/>
        <color rgb="FF2E2E2E"/>
        <rFont val="Arial"/>
        <charset val="1"/>
      </rPr>
      <t>(</t>
    </r>
    <r>
      <rPr>
        <sz val="10"/>
        <color rgb="FF2E2E2E"/>
        <rFont val="Noto Sans CJK SC"/>
        <charset val="134"/>
      </rPr>
      <t>夏季</t>
    </r>
    <r>
      <rPr>
        <sz val="10"/>
        <color rgb="FF2E2E2E"/>
        <rFont val="Arial"/>
        <charset val="1"/>
      </rPr>
      <t>Q1→</t>
    </r>
    <r>
      <rPr>
        <sz val="10"/>
        <color rgb="FF2E2E2E"/>
        <rFont val="Noto Sans CJK SC"/>
        <charset val="134"/>
      </rPr>
      <t>全年</t>
    </r>
    <r>
      <rPr>
        <sz val="10"/>
        <color rgb="FF2E2E2E"/>
        <rFont val="Arial"/>
        <charset val="1"/>
      </rPr>
      <t>)</t>
    </r>
  </si>
  <si>
    <r>
      <rPr>
        <sz val="10"/>
        <color rgb="FF2E2E2E"/>
        <rFont val="Noto Sans CJK SC"/>
        <charset val="134"/>
      </rPr>
      <t xml:space="preserve">预见性折减 </t>
    </r>
    <r>
      <rPr>
        <sz val="10"/>
        <color rgb="FF2E2E2E"/>
        <rFont val="Arial"/>
        <charset val="1"/>
      </rPr>
      <t>(</t>
    </r>
    <r>
      <rPr>
        <sz val="10"/>
        <color rgb="FF2E2E2E"/>
        <rFont val="Noto Sans CJK SC"/>
        <charset val="134"/>
      </rPr>
      <t>尖峰捕获</t>
    </r>
    <r>
      <rPr>
        <sz val="10"/>
        <color rgb="FF2E2E2E"/>
        <rFont val="Arial"/>
        <charset val="1"/>
      </rPr>
      <t>)</t>
    </r>
  </si>
  <si>
    <r>
      <rPr>
        <sz val="10"/>
        <color rgb="FF2E2E2E"/>
        <rFont val="Arial"/>
        <charset val="1"/>
      </rPr>
      <t xml:space="preserve">BESS </t>
    </r>
    <r>
      <rPr>
        <sz val="10"/>
        <color rgb="FF2E2E2E"/>
        <rFont val="Noto Sans CJK SC"/>
        <charset val="134"/>
      </rPr>
      <t xml:space="preserve">运营单位收益 </t>
    </r>
    <r>
      <rPr>
        <sz val="10"/>
        <color rgb="FF2E2E2E"/>
        <rFont val="Arial"/>
        <charset val="1"/>
      </rPr>
      <t>(AUD/MW·</t>
    </r>
    <r>
      <rPr>
        <sz val="10"/>
        <color rgb="FF2E2E2E"/>
        <rFont val="Noto Sans CJK SC"/>
        <charset val="134"/>
      </rPr>
      <t>年</t>
    </r>
    <r>
      <rPr>
        <sz val="10"/>
        <color rgb="FF2E2E2E"/>
        <rFont val="Arial"/>
        <charset val="1"/>
      </rPr>
      <t>)</t>
    </r>
  </si>
  <si>
    <r>
      <rPr>
        <sz val="10"/>
        <color rgb="FF2E2E2E"/>
        <rFont val="Arial"/>
        <charset val="1"/>
      </rPr>
      <t xml:space="preserve">BESS </t>
    </r>
    <r>
      <rPr>
        <sz val="10"/>
        <color rgb="FF2E2E2E"/>
        <rFont val="Noto Sans CJK SC"/>
        <charset val="134"/>
      </rPr>
      <t xml:space="preserve">现货套利价差 </t>
    </r>
    <r>
      <rPr>
        <sz val="10"/>
        <color rgb="FF2E2E2E"/>
        <rFont val="Arial"/>
        <charset val="1"/>
      </rPr>
      <t>(AUD/MWh)</t>
    </r>
  </si>
  <si>
    <r>
      <rPr>
        <sz val="9"/>
        <color rgb="FF7A7A7A"/>
        <rFont val="Noto Sans CJK SC"/>
        <charset val="134"/>
      </rPr>
      <t>图例：蓝色</t>
    </r>
    <r>
      <rPr>
        <sz val="9"/>
        <color rgb="FF7A7A7A"/>
        <rFont val="Arial"/>
        <charset val="1"/>
      </rPr>
      <t>=</t>
    </r>
    <r>
      <rPr>
        <sz val="9"/>
        <color rgb="FF7A7A7A"/>
        <rFont val="Noto Sans CJK SC"/>
        <charset val="134"/>
      </rPr>
      <t xml:space="preserve">硬输入  </t>
    </r>
    <r>
      <rPr>
        <sz val="9"/>
        <color rgb="FF7A7A7A"/>
        <rFont val="Arial"/>
        <charset val="1"/>
      </rPr>
      <t xml:space="preserve">·  </t>
    </r>
    <r>
      <rPr>
        <sz val="9"/>
        <color rgb="FF7A7A7A"/>
        <rFont val="Noto Sans CJK SC"/>
        <charset val="134"/>
      </rPr>
      <t>黑色</t>
    </r>
    <r>
      <rPr>
        <sz val="9"/>
        <color rgb="FF7A7A7A"/>
        <rFont val="Arial"/>
        <charset val="1"/>
      </rPr>
      <t>=</t>
    </r>
    <r>
      <rPr>
        <sz val="9"/>
        <color rgb="FF7A7A7A"/>
        <rFont val="Noto Sans CJK SC"/>
        <charset val="134"/>
      </rPr>
      <t xml:space="preserve">公式计算  </t>
    </r>
    <r>
      <rPr>
        <sz val="9"/>
        <color rgb="FF7A7A7A"/>
        <rFont val="Arial"/>
        <charset val="1"/>
      </rPr>
      <t xml:space="preserve">·  </t>
    </r>
    <r>
      <rPr>
        <sz val="9"/>
        <color rgb="FF7A7A7A"/>
        <rFont val="Noto Sans CJK SC"/>
        <charset val="134"/>
      </rPr>
      <t>绿色</t>
    </r>
    <r>
      <rPr>
        <sz val="9"/>
        <color rgb="FF7A7A7A"/>
        <rFont val="Arial"/>
        <charset val="1"/>
      </rPr>
      <t>=</t>
    </r>
    <r>
      <rPr>
        <sz val="9"/>
        <color rgb="FF7A7A7A"/>
        <rFont val="Noto Sans CJK SC"/>
        <charset val="134"/>
      </rPr>
      <t>跨表引用</t>
    </r>
  </si>
  <si>
    <r>
      <rPr>
        <b/>
        <sz val="15"/>
        <color rgb="FFFFFFFF"/>
        <rFont val="Noto Sans CJK SC"/>
        <charset val="134"/>
      </rPr>
      <t xml:space="preserve">单位经济性测算（每户 </t>
    </r>
    <r>
      <rPr>
        <b/>
        <sz val="15"/>
        <color rgb="FFFFFFFF"/>
        <rFont val="Arial"/>
        <charset val="1"/>
      </rPr>
      <t xml:space="preserve">/ </t>
    </r>
    <r>
      <rPr>
        <b/>
        <sz val="15"/>
        <color rgb="FFFFFFFF"/>
        <rFont val="Noto Sans CJK SC"/>
        <charset val="134"/>
      </rPr>
      <t>每站，</t>
    </r>
    <r>
      <rPr>
        <b/>
        <sz val="15"/>
        <color rgb="FFFFFFFF"/>
        <rFont val="Arial"/>
        <charset val="1"/>
      </rPr>
      <t>AUD/</t>
    </r>
    <r>
      <rPr>
        <b/>
        <sz val="15"/>
        <color rgb="FFFFFFFF"/>
        <rFont val="Noto Sans CJK SC"/>
        <charset val="134"/>
      </rPr>
      <t>年）</t>
    </r>
  </si>
  <si>
    <r>
      <rPr>
        <sz val="9"/>
        <color rgb="FF7A7A7A"/>
        <rFont val="Noto Sans CJK SC"/>
        <charset val="134"/>
      </rPr>
      <t>方案</t>
    </r>
    <r>
      <rPr>
        <sz val="9"/>
        <color rgb="FF7A7A7A"/>
        <rFont val="Arial"/>
        <charset val="1"/>
      </rPr>
      <t>A=</t>
    </r>
    <r>
      <rPr>
        <sz val="9"/>
        <color rgb="FF7A7A7A"/>
        <rFont val="Noto Sans CJK SC"/>
        <charset val="134"/>
      </rPr>
      <t>零售套餐</t>
    </r>
    <r>
      <rPr>
        <sz val="9"/>
        <color rgb="FF7A7A7A"/>
        <rFont val="Arial"/>
        <charset val="1"/>
      </rPr>
      <t>·</t>
    </r>
    <r>
      <rPr>
        <sz val="9"/>
        <color rgb="FF7A7A7A"/>
        <rFont val="Noto Sans CJK SC"/>
        <charset val="134"/>
      </rPr>
      <t>无</t>
    </r>
    <r>
      <rPr>
        <sz val="9"/>
        <color rgb="FF7A7A7A"/>
        <rFont val="Arial"/>
        <charset val="1"/>
      </rPr>
      <t>VPP</t>
    </r>
    <r>
      <rPr>
        <sz val="9"/>
        <color rgb="FF7A7A7A"/>
        <rFont val="Noto Sans CJK SC"/>
        <charset val="134"/>
      </rPr>
      <t>；方案</t>
    </r>
    <r>
      <rPr>
        <sz val="9"/>
        <color rgb="FF7A7A7A"/>
        <rFont val="Arial"/>
        <charset val="1"/>
      </rPr>
      <t>B=</t>
    </r>
    <r>
      <rPr>
        <sz val="9"/>
        <color rgb="FF7A7A7A"/>
        <rFont val="Noto Sans CJK SC"/>
        <charset val="134"/>
      </rPr>
      <t>批发套餐</t>
    </r>
    <r>
      <rPr>
        <sz val="9"/>
        <color rgb="FF7A7A7A"/>
        <rFont val="Arial"/>
        <charset val="1"/>
      </rPr>
      <t>·VPP(</t>
    </r>
    <r>
      <rPr>
        <sz val="9"/>
        <color rgb="FF7A7A7A"/>
        <rFont val="Noto Sans CJK SC"/>
        <charset val="134"/>
      </rPr>
      <t>套利</t>
    </r>
    <r>
      <rPr>
        <sz val="9"/>
        <color rgb="FF7A7A7A"/>
        <rFont val="Arial"/>
        <charset val="1"/>
      </rPr>
      <t>+FCAS)</t>
    </r>
    <r>
      <rPr>
        <sz val="9"/>
        <color rgb="FF7A7A7A"/>
        <rFont val="Noto Sans CJK SC"/>
        <charset val="134"/>
      </rPr>
      <t>。蓝色为</t>
    </r>
    <r>
      <rPr>
        <sz val="9"/>
        <color rgb="FF7A7A7A"/>
        <rFont val="Arial"/>
        <charset val="1"/>
      </rPr>
      <t>NEM</t>
    </r>
    <r>
      <rPr>
        <sz val="9"/>
        <color rgb="FF7A7A7A"/>
        <rFont val="Noto Sans CJK SC"/>
        <charset val="134"/>
      </rPr>
      <t>真实回测输出。</t>
    </r>
  </si>
  <si>
    <t>指标</t>
  </si>
  <si>
    <t>户用（每户）</t>
  </si>
  <si>
    <t>工商业（每站）</t>
  </si>
  <si>
    <r>
      <rPr>
        <sz val="10"/>
        <color rgb="FF2E2E2E"/>
        <rFont val="Noto Sans CJK SC"/>
        <charset val="134"/>
      </rPr>
      <t xml:space="preserve">储能容量 </t>
    </r>
    <r>
      <rPr>
        <sz val="10"/>
        <color rgb="FF2E2E2E"/>
        <rFont val="Arial"/>
        <charset val="1"/>
      </rPr>
      <t>(kWh)</t>
    </r>
  </si>
  <si>
    <r>
      <rPr>
        <sz val="10"/>
        <color rgb="FF2E2E2E"/>
        <rFont val="Noto Sans CJK SC"/>
        <charset val="134"/>
      </rPr>
      <t xml:space="preserve">功率 </t>
    </r>
    <r>
      <rPr>
        <sz val="10"/>
        <color rgb="FF2E2E2E"/>
        <rFont val="Arial"/>
        <charset val="1"/>
      </rPr>
      <t>(kW)</t>
    </r>
  </si>
  <si>
    <r>
      <rPr>
        <sz val="10"/>
        <color rgb="FF2E2E2E"/>
        <rFont val="Noto Sans CJK SC"/>
        <charset val="134"/>
      </rPr>
      <t>方案</t>
    </r>
    <r>
      <rPr>
        <sz val="10"/>
        <color rgb="FF2E2E2E"/>
        <rFont val="Arial"/>
        <charset val="1"/>
      </rPr>
      <t xml:space="preserve">A </t>
    </r>
    <r>
      <rPr>
        <sz val="10"/>
        <color rgb="FF2E2E2E"/>
        <rFont val="Noto Sans CJK SC"/>
        <charset val="134"/>
      </rPr>
      <t xml:space="preserve">零售套利 </t>
    </r>
    <r>
      <rPr>
        <sz val="10"/>
        <color rgb="FF2E2E2E"/>
        <rFont val="Arial"/>
        <charset val="1"/>
      </rPr>
      <t>VPP</t>
    </r>
    <r>
      <rPr>
        <sz val="10"/>
        <color rgb="FF2E2E2E"/>
        <rFont val="Noto Sans CJK SC"/>
        <charset val="134"/>
      </rPr>
      <t>收益</t>
    </r>
  </si>
  <si>
    <r>
      <rPr>
        <sz val="10"/>
        <color rgb="FF2E2E2E"/>
        <rFont val="Noto Sans CJK SC"/>
        <charset val="134"/>
      </rPr>
      <t>方案</t>
    </r>
    <r>
      <rPr>
        <sz val="10"/>
        <color rgb="FF2E2E2E"/>
        <rFont val="Arial"/>
        <charset val="1"/>
      </rPr>
      <t xml:space="preserve">B </t>
    </r>
    <r>
      <rPr>
        <sz val="10"/>
        <color rgb="FF2E2E2E"/>
        <rFont val="Noto Sans CJK SC"/>
        <charset val="134"/>
      </rPr>
      <t>批发套利</t>
    </r>
  </si>
  <si>
    <r>
      <rPr>
        <sz val="10"/>
        <color rgb="FF2E2E2E"/>
        <rFont val="Noto Sans CJK SC"/>
        <charset val="134"/>
      </rPr>
      <t>方案</t>
    </r>
    <r>
      <rPr>
        <sz val="10"/>
        <color rgb="FF2E2E2E"/>
        <rFont val="Arial"/>
        <charset val="1"/>
      </rPr>
      <t>B FCAS</t>
    </r>
  </si>
  <si>
    <r>
      <rPr>
        <b/>
        <sz val="10"/>
        <color rgb="FF2E2E2E"/>
        <rFont val="Noto Sans CJK SC"/>
        <charset val="134"/>
      </rPr>
      <t>方案</t>
    </r>
    <r>
      <rPr>
        <b/>
        <sz val="10"/>
        <color rgb="FF2E2E2E"/>
        <rFont val="Arial"/>
        <charset val="1"/>
      </rPr>
      <t>B VPP</t>
    </r>
    <r>
      <rPr>
        <b/>
        <sz val="10"/>
        <color rgb="FF2E2E2E"/>
        <rFont val="Noto Sans CJK SC"/>
        <charset val="134"/>
      </rPr>
      <t>收益合计</t>
    </r>
  </si>
  <si>
    <r>
      <rPr>
        <b/>
        <sz val="10"/>
        <color rgb="FF2E2E2E"/>
        <rFont val="Noto Sans CJK SC"/>
        <charset val="134"/>
      </rPr>
      <t xml:space="preserve">提升倍数 </t>
    </r>
    <r>
      <rPr>
        <b/>
        <sz val="10"/>
        <color rgb="FF2E2E2E"/>
        <rFont val="Arial"/>
        <charset val="1"/>
      </rPr>
      <t>(B/A)</t>
    </r>
  </si>
  <si>
    <r>
      <rPr>
        <b/>
        <sz val="10"/>
        <color rgb="FF2E2E2E"/>
        <rFont val="Noto Sans CJK SC"/>
        <charset val="134"/>
      </rPr>
      <t>单位</t>
    </r>
    <r>
      <rPr>
        <b/>
        <sz val="10"/>
        <color rgb="FF2E2E2E"/>
        <rFont val="Arial"/>
        <charset val="1"/>
      </rPr>
      <t>VPP</t>
    </r>
    <r>
      <rPr>
        <b/>
        <sz val="10"/>
        <color rgb="FF2E2E2E"/>
        <rFont val="Noto Sans CJK SC"/>
        <charset val="134"/>
      </rPr>
      <t xml:space="preserve">收益 </t>
    </r>
    <r>
      <rPr>
        <b/>
        <sz val="10"/>
        <color rgb="FF2E2E2E"/>
        <rFont val="Arial"/>
        <charset val="1"/>
      </rPr>
      <t>(AUD/kW·</t>
    </r>
    <r>
      <rPr>
        <b/>
        <sz val="10"/>
        <color rgb="FF2E2E2E"/>
        <rFont val="Noto Sans CJK SC"/>
        <charset val="134"/>
      </rPr>
      <t>年</t>
    </r>
    <r>
      <rPr>
        <b/>
        <sz val="10"/>
        <color rgb="FF2E2E2E"/>
        <rFont val="Arial"/>
        <charset val="1"/>
      </rPr>
      <t>)</t>
    </r>
  </si>
  <si>
    <r>
      <rPr>
        <b/>
        <sz val="10"/>
        <color rgb="FF2E2E2E"/>
        <rFont val="Noto Sans CJK SC"/>
        <charset val="134"/>
      </rPr>
      <t>运营商分成</t>
    </r>
    <r>
      <rPr>
        <b/>
        <sz val="10"/>
        <color rgb="FF2E2E2E"/>
        <rFont val="Arial"/>
        <charset val="1"/>
      </rPr>
      <t>30% (AUD/</t>
    </r>
    <r>
      <rPr>
        <b/>
        <sz val="10"/>
        <color rgb="FF2E2E2E"/>
        <rFont val="Noto Sans CJK SC"/>
        <charset val="134"/>
      </rPr>
      <t>年</t>
    </r>
    <r>
      <rPr>
        <b/>
        <sz val="10"/>
        <color rgb="FF2E2E2E"/>
        <rFont val="Arial"/>
        <charset val="1"/>
      </rPr>
      <t>)</t>
    </r>
  </si>
  <si>
    <r>
      <rPr>
        <b/>
        <sz val="10"/>
        <color rgb="FF2E2E2E"/>
        <rFont val="Noto Sans CJK SC"/>
        <charset val="134"/>
      </rPr>
      <t xml:space="preserve">运营商单位收益 </t>
    </r>
    <r>
      <rPr>
        <b/>
        <sz val="10"/>
        <color rgb="FF2E2E2E"/>
        <rFont val="Arial"/>
        <charset val="1"/>
      </rPr>
      <t>(AUD/kW·</t>
    </r>
    <r>
      <rPr>
        <b/>
        <sz val="10"/>
        <color rgb="FF2E2E2E"/>
        <rFont val="Noto Sans CJK SC"/>
        <charset val="134"/>
      </rPr>
      <t>年</t>
    </r>
    <r>
      <rPr>
        <b/>
        <sz val="10"/>
        <color rgb="FF2E2E2E"/>
        <rFont val="Arial"/>
        <charset val="1"/>
      </rPr>
      <t>)</t>
    </r>
  </si>
  <si>
    <r>
      <rPr>
        <b/>
        <sz val="15"/>
        <color rgb="FFFFFFFF"/>
        <rFont val="Noto Sans CJK SC"/>
        <charset val="134"/>
      </rPr>
      <t>聚合规模与收益（按第</t>
    </r>
    <r>
      <rPr>
        <b/>
        <sz val="15"/>
        <color rgb="FFFFFFFF"/>
        <rFont val="Arial"/>
        <charset val="1"/>
      </rPr>
      <t>1</t>
    </r>
    <r>
      <rPr>
        <b/>
        <sz val="15"/>
        <color rgb="FFFFFFFF"/>
        <rFont val="Noto Sans CJK SC"/>
        <charset val="134"/>
      </rPr>
      <t xml:space="preserve">页口径，万 </t>
    </r>
    <r>
      <rPr>
        <b/>
        <sz val="15"/>
        <color rgb="FFFFFFFF"/>
        <rFont val="Arial"/>
        <charset val="1"/>
      </rPr>
      <t>AUD/</t>
    </r>
    <r>
      <rPr>
        <b/>
        <sz val="15"/>
        <color rgb="FFFFFFFF"/>
        <rFont val="Noto Sans CJK SC"/>
        <charset val="134"/>
      </rPr>
      <t>年）</t>
    </r>
  </si>
  <si>
    <t>资产类型</t>
  </si>
  <si>
    <r>
      <rPr>
        <b/>
        <sz val="10.5"/>
        <color rgb="FFFFFFFF"/>
        <rFont val="Noto Sans CJK SC"/>
        <charset val="134"/>
      </rPr>
      <t>聚合规模</t>
    </r>
    <r>
      <rPr>
        <b/>
        <sz val="10.5"/>
        <color rgb="FFFFFFFF"/>
        <rFont val="Arial"/>
        <charset val="1"/>
      </rPr>
      <t>(MW)</t>
    </r>
  </si>
  <si>
    <t>单位收益</t>
  </si>
  <si>
    <t>单位口径</t>
  </si>
  <si>
    <r>
      <rPr>
        <b/>
        <sz val="10.5"/>
        <color rgb="FFFFFFFF"/>
        <rFont val="Noto Sans CJK SC"/>
        <charset val="134"/>
      </rPr>
      <t>毛收益</t>
    </r>
    <r>
      <rPr>
        <b/>
        <sz val="10.5"/>
        <color rgb="FFFFFFFF"/>
        <rFont val="Arial"/>
        <charset val="1"/>
      </rPr>
      <t>(</t>
    </r>
    <r>
      <rPr>
        <b/>
        <sz val="10.5"/>
        <color rgb="FFFFFFFF"/>
        <rFont val="Noto Sans CJK SC"/>
        <charset val="134"/>
      </rPr>
      <t>万</t>
    </r>
    <r>
      <rPr>
        <b/>
        <sz val="10.5"/>
        <color rgb="FFFFFFFF"/>
        <rFont val="Arial"/>
        <charset val="1"/>
      </rPr>
      <t>AUD/</t>
    </r>
    <r>
      <rPr>
        <b/>
        <sz val="10.5"/>
        <color rgb="FFFFFFFF"/>
        <rFont val="Noto Sans CJK SC"/>
        <charset val="134"/>
      </rPr>
      <t>年</t>
    </r>
    <r>
      <rPr>
        <b/>
        <sz val="10.5"/>
        <color rgb="FFFFFFFF"/>
        <rFont val="Arial"/>
        <charset val="1"/>
      </rPr>
      <t>)</t>
    </r>
  </si>
  <si>
    <t>分成</t>
  </si>
  <si>
    <t>对标数据来源</t>
  </si>
  <si>
    <r>
      <rPr>
        <b/>
        <sz val="10"/>
        <color rgb="FF2E2E2E"/>
        <rFont val="Noto Sans CJK SC"/>
        <charset val="134"/>
      </rPr>
      <t xml:space="preserve">首批 </t>
    </r>
    <r>
      <rPr>
        <b/>
        <sz val="10"/>
        <color rgb="FF2E2E2E"/>
        <rFont val="Arial"/>
        <charset val="1"/>
      </rPr>
      <t xml:space="preserve">· </t>
    </r>
    <r>
      <rPr>
        <b/>
        <sz val="10"/>
        <color rgb="FF2E2E2E"/>
        <rFont val="Noto Sans CJK SC"/>
        <charset val="134"/>
      </rPr>
      <t>试点</t>
    </r>
  </si>
  <si>
    <r>
      <rPr>
        <sz val="10"/>
        <color rgb="FF2E2E2E"/>
        <rFont val="Noto Sans CJK SC"/>
        <charset val="134"/>
      </rPr>
      <t xml:space="preserve">户用 </t>
    </r>
    <r>
      <rPr>
        <sz val="10"/>
        <color rgb="FF2E2E2E"/>
        <rFont val="Arial"/>
        <charset val="1"/>
      </rPr>
      <t>VPP</t>
    </r>
  </si>
  <si>
    <r>
      <rPr>
        <sz val="9"/>
        <color rgb="FF7A7A7A"/>
        <rFont val="Arial"/>
        <charset val="1"/>
      </rPr>
      <t>AUD/kW·</t>
    </r>
    <r>
      <rPr>
        <sz val="9"/>
        <color rgb="FF7A7A7A"/>
        <rFont val="Noto Sans CJK SC"/>
        <charset val="134"/>
      </rPr>
      <t>年</t>
    </r>
  </si>
  <si>
    <t>AEMO NEM 2024–25</t>
  </si>
  <si>
    <r>
      <rPr>
        <sz val="10"/>
        <color rgb="FF2E2E2E"/>
        <rFont val="Noto Sans CJK SC"/>
        <charset val="134"/>
      </rPr>
      <t xml:space="preserve">工商业 </t>
    </r>
    <r>
      <rPr>
        <sz val="10"/>
        <color rgb="FF2E2E2E"/>
        <rFont val="Arial"/>
        <charset val="1"/>
      </rPr>
      <t>VPP</t>
    </r>
  </si>
  <si>
    <r>
      <rPr>
        <sz val="9"/>
        <color rgb="FF7A7A7A"/>
        <rFont val="Arial"/>
        <charset val="1"/>
      </rPr>
      <t xml:space="preserve">Momentum / EnelX </t>
    </r>
    <r>
      <rPr>
        <sz val="9"/>
        <color rgb="FF7A7A7A"/>
        <rFont val="Noto Sans CJK SC"/>
        <charset val="134"/>
      </rPr>
      <t>参考</t>
    </r>
  </si>
  <si>
    <r>
      <rPr>
        <sz val="10"/>
        <color rgb="FF2E2E2E"/>
        <rFont val="Arial"/>
        <charset val="1"/>
      </rPr>
      <t xml:space="preserve">BESS </t>
    </r>
    <r>
      <rPr>
        <sz val="10"/>
        <color rgb="FF2E2E2E"/>
        <rFont val="Noto Sans CJK SC"/>
        <charset val="134"/>
      </rPr>
      <t>运营</t>
    </r>
  </si>
  <si>
    <r>
      <rPr>
        <sz val="9"/>
        <color rgb="FF7A7A7A"/>
        <rFont val="Arial"/>
        <charset val="1"/>
      </rPr>
      <t>AUD/MW·</t>
    </r>
    <r>
      <rPr>
        <sz val="9"/>
        <color rgb="FF7A7A7A"/>
        <rFont val="Noto Sans CJK SC"/>
        <charset val="134"/>
      </rPr>
      <t>年</t>
    </r>
  </si>
  <si>
    <t>Modo Energy 2025 BESS</t>
  </si>
  <si>
    <t>小计</t>
  </si>
  <si>
    <t>首批</t>
  </si>
  <si>
    <r>
      <rPr>
        <b/>
        <sz val="10"/>
        <color rgb="FF2E2E2E"/>
        <rFont val="Noto Sans CJK SC"/>
        <charset val="134"/>
      </rPr>
      <t xml:space="preserve">中期 </t>
    </r>
    <r>
      <rPr>
        <b/>
        <sz val="10"/>
        <color rgb="FF2E2E2E"/>
        <rFont val="Arial"/>
        <charset val="1"/>
      </rPr>
      <t xml:space="preserve">· </t>
    </r>
    <r>
      <rPr>
        <b/>
        <sz val="10"/>
        <color rgb="FF2E2E2E"/>
        <rFont val="Noto Sans CJK SC"/>
        <charset val="134"/>
      </rPr>
      <t>储备</t>
    </r>
  </si>
  <si>
    <t>中期</t>
  </si>
  <si>
    <r>
      <rPr>
        <b/>
        <sz val="10"/>
        <color rgb="FF2E2E2E"/>
        <rFont val="Noto Sans CJK SC"/>
        <charset val="134"/>
      </rPr>
      <t xml:space="preserve">远期 </t>
    </r>
    <r>
      <rPr>
        <b/>
        <sz val="10"/>
        <color rgb="FF2E2E2E"/>
        <rFont val="Arial"/>
        <charset val="1"/>
      </rPr>
      <t xml:space="preserve">· </t>
    </r>
    <r>
      <rPr>
        <b/>
        <sz val="10"/>
        <color rgb="FF2E2E2E"/>
        <rFont val="Noto Sans CJK SC"/>
        <charset val="134"/>
      </rPr>
      <t>规划</t>
    </r>
  </si>
  <si>
    <t>远期</t>
  </si>
  <si>
    <r>
      <rPr>
        <b/>
        <sz val="15"/>
        <color rgb="FFFFFFFF"/>
        <rFont val="Arial"/>
        <charset val="1"/>
      </rPr>
      <t xml:space="preserve">JV </t>
    </r>
    <r>
      <rPr>
        <b/>
        <sz val="15"/>
        <color rgb="FFFFFFFF"/>
        <rFont val="Noto Sans CJK SC"/>
        <charset val="134"/>
      </rPr>
      <t xml:space="preserve">收入增长轨迹（运营商收益，万 </t>
    </r>
    <r>
      <rPr>
        <b/>
        <sz val="15"/>
        <color rgb="FFFFFFFF"/>
        <rFont val="Arial"/>
        <charset val="1"/>
      </rPr>
      <t>AUD/</t>
    </r>
    <r>
      <rPr>
        <b/>
        <sz val="15"/>
        <color rgb="FFFFFFFF"/>
        <rFont val="Noto Sans CJK SC"/>
        <charset val="134"/>
      </rPr>
      <t>年）</t>
    </r>
  </si>
  <si>
    <t>时点</t>
  </si>
  <si>
    <r>
      <rPr>
        <b/>
        <sz val="10.5"/>
        <color rgb="FFFFFFFF"/>
        <rFont val="Noto Sans CJK SC"/>
        <charset val="134"/>
      </rPr>
      <t xml:space="preserve">民居 </t>
    </r>
    <r>
      <rPr>
        <b/>
        <sz val="10.5"/>
        <color rgb="FFFFFFFF"/>
        <rFont val="Arial"/>
        <charset val="1"/>
      </rPr>
      <t>VPP</t>
    </r>
  </si>
  <si>
    <r>
      <rPr>
        <b/>
        <sz val="10.5"/>
        <color rgb="FFFFFFFF"/>
        <rFont val="Noto Sans CJK SC"/>
        <charset val="134"/>
      </rPr>
      <t xml:space="preserve">工商业 </t>
    </r>
    <r>
      <rPr>
        <b/>
        <sz val="10.5"/>
        <color rgb="FFFFFFFF"/>
        <rFont val="Arial"/>
        <charset val="1"/>
      </rPr>
      <t>VPP</t>
    </r>
  </si>
  <si>
    <r>
      <rPr>
        <b/>
        <sz val="10.5"/>
        <color rgb="FFFFFFFF"/>
        <rFont val="Arial"/>
        <charset val="1"/>
      </rPr>
      <t xml:space="preserve">BESS </t>
    </r>
    <r>
      <rPr>
        <b/>
        <sz val="10.5"/>
        <color rgb="FFFFFFFF"/>
        <rFont val="Noto Sans CJK SC"/>
        <charset val="134"/>
      </rPr>
      <t>运营</t>
    </r>
  </si>
  <si>
    <t>合计</t>
  </si>
  <si>
    <t>2026 Q4</t>
  </si>
  <si>
    <t>2027</t>
  </si>
  <si>
    <t>2028 H1</t>
  </si>
  <si>
    <t>2029+</t>
  </si>
  <si>
    <r>
      <rPr>
        <b/>
        <sz val="15"/>
        <color rgb="FFFFFFFF"/>
        <rFont val="Noto Sans CJK SC"/>
        <charset val="134"/>
      </rPr>
      <t xml:space="preserve">典型日演示 </t>
    </r>
    <r>
      <rPr>
        <b/>
        <sz val="15"/>
        <color rgb="FFFFFFFF"/>
        <rFont val="Arial"/>
        <charset val="1"/>
      </rPr>
      <t xml:space="preserve">· </t>
    </r>
    <r>
      <rPr>
        <b/>
        <sz val="15"/>
        <color rgb="FFFFFFFF"/>
        <rFont val="Noto Sans CJK SC"/>
        <charset val="134"/>
      </rPr>
      <t>两场景一天的电池调度与收益（</t>
    </r>
    <r>
      <rPr>
        <b/>
        <sz val="15"/>
        <color rgb="FFFFFFFF"/>
        <rFont val="Arial"/>
        <charset val="1"/>
      </rPr>
      <t>NSW</t>
    </r>
    <r>
      <rPr>
        <b/>
        <sz val="15"/>
        <color rgb="FFFFFFFF"/>
        <rFont val="Noto Sans CJK SC"/>
        <charset val="134"/>
      </rPr>
      <t>全季平均日内价格曲线）</t>
    </r>
  </si>
  <si>
    <r>
      <rPr>
        <sz val="9"/>
        <color rgb="FF7A7A7A"/>
        <rFont val="Noto Sans CJK SC"/>
        <charset val="134"/>
      </rPr>
      <t>演示口径：按</t>
    </r>
    <r>
      <rPr>
        <sz val="9"/>
        <color rgb="FF7A7A7A"/>
        <rFont val="Arial"/>
        <charset val="1"/>
      </rPr>
      <t>NSW</t>
    </r>
    <r>
      <rPr>
        <sz val="9"/>
        <color rgb="FF7A7A7A"/>
        <rFont val="Noto Sans CJK SC"/>
        <charset val="134"/>
      </rPr>
      <t>现货全季平均日内曲线，单户</t>
    </r>
    <r>
      <rPr>
        <sz val="9"/>
        <color rgb="FF7A7A7A"/>
        <rFont val="Arial"/>
        <charset val="1"/>
      </rPr>
      <t>/</t>
    </r>
    <r>
      <rPr>
        <sz val="9"/>
        <color rgb="FF7A7A7A"/>
        <rFont val="Noto Sans CJK SC"/>
        <charset val="134"/>
      </rPr>
      <t>单站一天的最优低充高放</t>
    </r>
    <r>
      <rPr>
        <sz val="9"/>
        <color rgb="FF7A7A7A"/>
        <rFont val="Arial"/>
        <charset val="1"/>
      </rPr>
      <t>(</t>
    </r>
    <r>
      <rPr>
        <sz val="9"/>
        <color rgb="FF7A7A7A"/>
        <rFont val="Noto Sans CJK SC"/>
        <charset val="134"/>
      </rPr>
      <t>单循环</t>
    </r>
    <r>
      <rPr>
        <sz val="9"/>
        <color rgb="FF7A7A7A"/>
        <rFont val="Arial"/>
        <charset val="1"/>
      </rPr>
      <t>)+FCAS</t>
    </r>
    <r>
      <rPr>
        <sz val="9"/>
        <color rgb="FF7A7A7A"/>
        <rFont val="Noto Sans CJK SC"/>
        <charset val="134"/>
      </rPr>
      <t>。工商业工作日</t>
    </r>
    <r>
      <rPr>
        <sz val="9"/>
        <color rgb="FF7A7A7A"/>
        <rFont val="Arial"/>
        <charset val="1"/>
      </rPr>
      <t>08–17</t>
    </r>
    <r>
      <rPr>
        <sz val="9"/>
        <color rgb="FF7A7A7A"/>
        <rFont val="Noto Sans CJK SC"/>
        <charset val="134"/>
      </rPr>
      <t>点电池服务负荷、不参与套利。</t>
    </r>
  </si>
  <si>
    <t>日收益汇总</t>
  </si>
  <si>
    <t>场景</t>
  </si>
  <si>
    <r>
      <rPr>
        <b/>
        <sz val="10.5"/>
        <color rgb="FFFFFFFF"/>
        <rFont val="Noto Sans CJK SC"/>
        <charset val="134"/>
      </rPr>
      <t>套利</t>
    </r>
    <r>
      <rPr>
        <b/>
        <sz val="10.5"/>
        <color rgb="FFFFFFFF"/>
        <rFont val="Arial"/>
        <charset val="1"/>
      </rPr>
      <t>($/</t>
    </r>
    <r>
      <rPr>
        <b/>
        <sz val="10.5"/>
        <color rgb="FFFFFFFF"/>
        <rFont val="Noto Sans CJK SC"/>
        <charset val="134"/>
      </rPr>
      <t>日</t>
    </r>
    <r>
      <rPr>
        <b/>
        <sz val="10.5"/>
        <color rgb="FFFFFFFF"/>
        <rFont val="Arial"/>
        <charset val="1"/>
      </rPr>
      <t>)</t>
    </r>
  </si>
  <si>
    <r>
      <rPr>
        <b/>
        <sz val="10.5"/>
        <color rgb="FFFFFFFF"/>
        <rFont val="Arial"/>
        <charset val="1"/>
      </rPr>
      <t>FCAS($/</t>
    </r>
    <r>
      <rPr>
        <b/>
        <sz val="10.5"/>
        <color rgb="FFFFFFFF"/>
        <rFont val="Noto Sans CJK SC"/>
        <charset val="134"/>
      </rPr>
      <t>日</t>
    </r>
    <r>
      <rPr>
        <b/>
        <sz val="10.5"/>
        <color rgb="FFFFFFFF"/>
        <rFont val="Arial"/>
        <charset val="1"/>
      </rPr>
      <t>)</t>
    </r>
  </si>
  <si>
    <r>
      <rPr>
        <b/>
        <sz val="10.5"/>
        <color rgb="FFFFFFFF"/>
        <rFont val="Noto Sans CJK SC"/>
        <charset val="134"/>
      </rPr>
      <t>日</t>
    </r>
    <r>
      <rPr>
        <b/>
        <sz val="10.5"/>
        <color rgb="FFFFFFFF"/>
        <rFont val="Arial"/>
        <charset val="1"/>
      </rPr>
      <t>VPP</t>
    </r>
    <r>
      <rPr>
        <b/>
        <sz val="10.5"/>
        <color rgb="FFFFFFFF"/>
        <rFont val="Noto Sans CJK SC"/>
        <charset val="134"/>
      </rPr>
      <t>收益</t>
    </r>
    <r>
      <rPr>
        <b/>
        <sz val="10.5"/>
        <color rgb="FFFFFFFF"/>
        <rFont val="Arial"/>
        <charset val="1"/>
      </rPr>
      <t>($)</t>
    </r>
  </si>
  <si>
    <r>
      <rPr>
        <b/>
        <sz val="10.5"/>
        <color rgb="FFFFFFFF"/>
        <rFont val="Noto Sans CJK SC"/>
        <charset val="134"/>
      </rPr>
      <t>运营商</t>
    </r>
    <r>
      <rPr>
        <b/>
        <sz val="10.5"/>
        <color rgb="FFFFFFFF"/>
        <rFont val="Arial"/>
        <charset val="1"/>
      </rPr>
      <t>30%($/</t>
    </r>
    <r>
      <rPr>
        <b/>
        <sz val="10.5"/>
        <color rgb="FFFFFFFF"/>
        <rFont val="Noto Sans CJK SC"/>
        <charset val="134"/>
      </rPr>
      <t>日</t>
    </r>
    <r>
      <rPr>
        <b/>
        <sz val="10.5"/>
        <color rgb="FFFFFFFF"/>
        <rFont val="Arial"/>
        <charset val="1"/>
      </rPr>
      <t>)</t>
    </r>
  </si>
  <si>
    <r>
      <rPr>
        <b/>
        <sz val="10.5"/>
        <color rgb="FFFFFFFF"/>
        <rFont val="Noto Sans CJK SC"/>
        <charset val="134"/>
      </rPr>
      <t>年化≈</t>
    </r>
    <r>
      <rPr>
        <b/>
        <sz val="10.5"/>
        <color rgb="FFFFFFFF"/>
        <rFont val="Arial"/>
        <charset val="1"/>
      </rPr>
      <t>($/</t>
    </r>
    <r>
      <rPr>
        <b/>
        <sz val="10.5"/>
        <color rgb="FFFFFFFF"/>
        <rFont val="Noto Sans CJK SC"/>
        <charset val="134"/>
      </rPr>
      <t>年</t>
    </r>
    <r>
      <rPr>
        <b/>
        <sz val="10.5"/>
        <color rgb="FFFFFFFF"/>
        <rFont val="Arial"/>
        <charset val="1"/>
      </rPr>
      <t>)</t>
    </r>
  </si>
  <si>
    <r>
      <rPr>
        <b/>
        <sz val="10"/>
        <color rgb="FF2E2E2E"/>
        <rFont val="Noto Sans CJK SC"/>
        <charset val="134"/>
      </rPr>
      <t>户用（每户</t>
    </r>
    <r>
      <rPr>
        <b/>
        <sz val="10"/>
        <color rgb="FF2E2E2E"/>
        <rFont val="Arial"/>
        <charset val="1"/>
      </rPr>
      <t>·13.5kWh/5kW</t>
    </r>
    <r>
      <rPr>
        <b/>
        <sz val="10"/>
        <color rgb="FF2E2E2E"/>
        <rFont val="Noto Sans CJK SC"/>
        <charset val="134"/>
      </rPr>
      <t>）</t>
    </r>
  </si>
  <si>
    <r>
      <rPr>
        <b/>
        <sz val="10"/>
        <color rgb="FF2E2E2E"/>
        <rFont val="Noto Sans CJK SC"/>
        <charset val="134"/>
      </rPr>
      <t>工商业（每站</t>
    </r>
    <r>
      <rPr>
        <b/>
        <sz val="10"/>
        <color rgb="FF2E2E2E"/>
        <rFont val="Arial"/>
        <charset val="1"/>
      </rPr>
      <t>·215kWh/100kW</t>
    </r>
    <r>
      <rPr>
        <b/>
        <sz val="10"/>
        <color rgb="FF2E2E2E"/>
        <rFont val="Noto Sans CJK SC"/>
        <charset val="134"/>
      </rPr>
      <t>）</t>
    </r>
  </si>
  <si>
    <t>小时</t>
  </si>
  <si>
    <r>
      <rPr>
        <b/>
        <sz val="10.5"/>
        <color rgb="FFFFFFFF"/>
        <rFont val="Noto Sans CJK SC"/>
        <charset val="134"/>
      </rPr>
      <t>现货价</t>
    </r>
    <r>
      <rPr>
        <b/>
        <sz val="10.5"/>
        <color rgb="FFFFFFFF"/>
        <rFont val="Arial"/>
        <charset val="1"/>
      </rPr>
      <t>($/MWh)</t>
    </r>
  </si>
  <si>
    <r>
      <rPr>
        <b/>
        <sz val="10.5"/>
        <color rgb="FFFFFFFF"/>
        <rFont val="Noto Sans CJK SC"/>
        <charset val="134"/>
      </rPr>
      <t>户用</t>
    </r>
    <r>
      <rPr>
        <b/>
        <sz val="10.5"/>
        <color rgb="FFFFFFFF"/>
        <rFont val="Arial"/>
        <charset val="1"/>
      </rPr>
      <t>·</t>
    </r>
    <r>
      <rPr>
        <b/>
        <sz val="10.5"/>
        <color rgb="FFFFFFFF"/>
        <rFont val="Noto Sans CJK SC"/>
        <charset val="134"/>
      </rPr>
      <t>动作</t>
    </r>
  </si>
  <si>
    <r>
      <rPr>
        <b/>
        <sz val="10.5"/>
        <color rgb="FFFFFFFF"/>
        <rFont val="Noto Sans CJK SC"/>
        <charset val="134"/>
      </rPr>
      <t>户用</t>
    </r>
    <r>
      <rPr>
        <b/>
        <sz val="10.5"/>
        <color rgb="FFFFFFFF"/>
        <rFont val="Arial"/>
        <charset val="1"/>
      </rPr>
      <t>·</t>
    </r>
    <r>
      <rPr>
        <b/>
        <sz val="10.5"/>
        <color rgb="FFFFFFFF"/>
        <rFont val="Noto Sans CJK SC"/>
        <charset val="134"/>
      </rPr>
      <t>电量</t>
    </r>
    <r>
      <rPr>
        <b/>
        <sz val="10.5"/>
        <color rgb="FFFFFFFF"/>
        <rFont val="Arial"/>
        <charset val="1"/>
      </rPr>
      <t>(kWh)</t>
    </r>
  </si>
  <si>
    <r>
      <rPr>
        <b/>
        <sz val="10.5"/>
        <color rgb="FFFFFFFF"/>
        <rFont val="Noto Sans CJK SC"/>
        <charset val="134"/>
      </rPr>
      <t>户用</t>
    </r>
    <r>
      <rPr>
        <b/>
        <sz val="10.5"/>
        <color rgb="FFFFFFFF"/>
        <rFont val="Arial"/>
        <charset val="1"/>
      </rPr>
      <t>·</t>
    </r>
    <r>
      <rPr>
        <b/>
        <sz val="10.5"/>
        <color rgb="FFFFFFFF"/>
        <rFont val="Noto Sans CJK SC"/>
        <charset val="134"/>
      </rPr>
      <t>收益</t>
    </r>
    <r>
      <rPr>
        <b/>
        <sz val="10.5"/>
        <color rgb="FFFFFFFF"/>
        <rFont val="Arial"/>
        <charset val="1"/>
      </rPr>
      <t>($)</t>
    </r>
  </si>
  <si>
    <r>
      <rPr>
        <b/>
        <sz val="10.5"/>
        <color rgb="FFFFFFFF"/>
        <rFont val="Noto Sans CJK SC"/>
        <charset val="134"/>
      </rPr>
      <t>工商业</t>
    </r>
    <r>
      <rPr>
        <b/>
        <sz val="10.5"/>
        <color rgb="FFFFFFFF"/>
        <rFont val="Arial"/>
        <charset val="1"/>
      </rPr>
      <t>·</t>
    </r>
    <r>
      <rPr>
        <b/>
        <sz val="10.5"/>
        <color rgb="FFFFFFFF"/>
        <rFont val="Noto Sans CJK SC"/>
        <charset val="134"/>
      </rPr>
      <t>动作</t>
    </r>
  </si>
  <si>
    <r>
      <rPr>
        <b/>
        <sz val="10.5"/>
        <color rgb="FFFFFFFF"/>
        <rFont val="Noto Sans CJK SC"/>
        <charset val="134"/>
      </rPr>
      <t>工商业</t>
    </r>
    <r>
      <rPr>
        <b/>
        <sz val="10.5"/>
        <color rgb="FFFFFFFF"/>
        <rFont val="Arial"/>
        <charset val="1"/>
      </rPr>
      <t>·</t>
    </r>
    <r>
      <rPr>
        <b/>
        <sz val="10.5"/>
        <color rgb="FFFFFFFF"/>
        <rFont val="Noto Sans CJK SC"/>
        <charset val="134"/>
      </rPr>
      <t>电量</t>
    </r>
    <r>
      <rPr>
        <b/>
        <sz val="10.5"/>
        <color rgb="FFFFFFFF"/>
        <rFont val="Arial"/>
        <charset val="1"/>
      </rPr>
      <t>(kWh)</t>
    </r>
  </si>
  <si>
    <r>
      <rPr>
        <b/>
        <sz val="10.5"/>
        <color rgb="FFFFFFFF"/>
        <rFont val="Noto Sans CJK SC"/>
        <charset val="134"/>
      </rPr>
      <t>工商业</t>
    </r>
    <r>
      <rPr>
        <b/>
        <sz val="10.5"/>
        <color rgb="FFFFFFFF"/>
        <rFont val="Arial"/>
        <charset val="1"/>
      </rPr>
      <t>·</t>
    </r>
    <r>
      <rPr>
        <b/>
        <sz val="10.5"/>
        <color rgb="FFFFFFFF"/>
        <rFont val="Noto Sans CJK SC"/>
        <charset val="134"/>
      </rPr>
      <t>收益</t>
    </r>
    <r>
      <rPr>
        <b/>
        <sz val="10.5"/>
        <color rgb="FFFFFFFF"/>
        <rFont val="Arial"/>
        <charset val="1"/>
      </rPr>
      <t>($)</t>
    </r>
  </si>
  <si>
    <t>00:00</t>
  </si>
  <si>
    <t>—</t>
  </si>
  <si>
    <t>01:00</t>
  </si>
  <si>
    <t>02:00</t>
  </si>
  <si>
    <t>充电</t>
  </si>
  <si>
    <t>03:00</t>
  </si>
  <si>
    <t>04:00</t>
  </si>
  <si>
    <t>05:00</t>
  </si>
  <si>
    <t>06:00</t>
  </si>
  <si>
    <t>07:00</t>
  </si>
  <si>
    <t>08:00</t>
  </si>
  <si>
    <t>服务负荷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</si>
  <si>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</si>
  <si>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</si>
  <si>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</si>
  <si>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</si>
  <si>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</si>
  <si>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</si>
  <si>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</si>
  <si>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</si>
  <si>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</si>
  <si>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放电</t>
  </si>
  <si>
    <t>18:00</t>
  </si>
  <si>
    <t>19:00</t>
  </si>
  <si>
    <t>20:00</t>
  </si>
  <si>
    <t>21:00</t>
  </si>
  <si>
    <t>22:00</t>
  </si>
  <si>
    <t>23:00</t>
  </si>
  <si>
    <r>
      <rPr>
        <b/>
        <sz val="10.5"/>
        <color rgb="FF2E2E2E"/>
        <rFont val="Noto Sans CJK SC"/>
        <charset val="134"/>
      </rPr>
      <t xml:space="preserve">① 套利合计 </t>
    </r>
    <r>
      <rPr>
        <b/>
        <sz val="10.5"/>
        <color rgb="FF2E2E2E"/>
        <rFont val="Arial"/>
        <charset val="1"/>
      </rPr>
      <t xml:space="preserve">/ </t>
    </r>
    <r>
      <rPr>
        <b/>
        <sz val="10.5"/>
        <color rgb="FF2E2E2E"/>
        <rFont val="Noto Sans CJK SC"/>
        <charset val="134"/>
      </rPr>
      <t>日</t>
    </r>
  </si>
  <si>
    <r>
      <rPr>
        <b/>
        <sz val="10.5"/>
        <color rgb="FF2E2E2E"/>
        <rFont val="Arial"/>
        <charset val="1"/>
      </rPr>
      <t xml:space="preserve">② FCAS / </t>
    </r>
    <r>
      <rPr>
        <b/>
        <sz val="10.5"/>
        <color rgb="FF2E2E2E"/>
        <rFont val="Noto Sans CJK SC"/>
        <charset val="134"/>
      </rPr>
      <t>日（年度模型</t>
    </r>
    <r>
      <rPr>
        <b/>
        <sz val="10.5"/>
        <color rgb="FF2E2E2E"/>
        <rFont val="Arial"/>
        <charset val="1"/>
      </rPr>
      <t>÷(365×0.9)</t>
    </r>
    <r>
      <rPr>
        <b/>
        <sz val="10.5"/>
        <color rgb="FF2E2E2E"/>
        <rFont val="Noto Sans CJK SC"/>
        <charset val="134"/>
      </rPr>
      <t>）</t>
    </r>
  </si>
  <si>
    <r>
      <rPr>
        <b/>
        <sz val="11"/>
        <color rgb="FFEC6A2C"/>
        <rFont val="Noto Sans CJK SC"/>
        <charset val="134"/>
      </rPr>
      <t>③ 日</t>
    </r>
    <r>
      <rPr>
        <b/>
        <sz val="11"/>
        <color rgb="FFEC6A2C"/>
        <rFont val="Arial"/>
        <charset val="1"/>
      </rPr>
      <t>VPP</t>
    </r>
    <r>
      <rPr>
        <b/>
        <sz val="11"/>
        <color rgb="FFEC6A2C"/>
        <rFont val="Noto Sans CJK SC"/>
        <charset val="134"/>
      </rPr>
      <t xml:space="preserve">收益 </t>
    </r>
    <r>
      <rPr>
        <b/>
        <sz val="11"/>
        <color rgb="FFEC6A2C"/>
        <rFont val="Arial"/>
        <charset val="1"/>
      </rPr>
      <t>= ①+②</t>
    </r>
  </si>
  <si>
    <r>
      <rPr>
        <b/>
        <sz val="10.5"/>
        <color rgb="FF2E2E2E"/>
        <rFont val="Noto Sans CJK SC"/>
        <charset val="134"/>
      </rPr>
      <t>④ 运营商分成</t>
    </r>
    <r>
      <rPr>
        <b/>
        <sz val="10.5"/>
        <color rgb="FF2E2E2E"/>
        <rFont val="Arial"/>
        <charset val="1"/>
      </rPr>
      <t xml:space="preserve">30% / </t>
    </r>
    <r>
      <rPr>
        <b/>
        <sz val="10.5"/>
        <color rgb="FF2E2E2E"/>
        <rFont val="Noto Sans CJK SC"/>
        <charset val="134"/>
      </rPr>
      <t>日</t>
    </r>
  </si>
  <si>
    <r>
      <rPr>
        <sz val="10"/>
        <color rgb="FF7A7A7A"/>
        <rFont val="Noto Sans CJK SC"/>
        <charset val="134"/>
      </rPr>
      <t>⑤ 年化≈ 日</t>
    </r>
    <r>
      <rPr>
        <sz val="10"/>
        <color rgb="FF7A7A7A"/>
        <rFont val="Arial"/>
        <charset val="1"/>
      </rPr>
      <t>VPP×365</t>
    </r>
    <r>
      <rPr>
        <sz val="10"/>
        <color rgb="FF7A7A7A"/>
        <rFont val="Noto Sans CJK SC"/>
        <charset val="134"/>
      </rPr>
      <t>（对照年度模型：户用</t>
    </r>
    <r>
      <rPr>
        <sz val="10"/>
        <color rgb="FF7A7A7A"/>
        <rFont val="Arial"/>
        <charset val="1"/>
      </rPr>
      <t xml:space="preserve">1,083 / </t>
    </r>
    <r>
      <rPr>
        <sz val="10"/>
        <color rgb="FF7A7A7A"/>
        <rFont val="Noto Sans CJK SC"/>
        <charset val="134"/>
      </rPr>
      <t>工商业</t>
    </r>
    <r>
      <rPr>
        <sz val="10"/>
        <color rgb="FF7A7A7A"/>
        <rFont val="Arial"/>
        <charset val="1"/>
      </rPr>
      <t>15,290</t>
    </r>
    <r>
      <rPr>
        <sz val="10"/>
        <color rgb="FF7A7A7A"/>
        <rFont val="Noto Sans CJK SC"/>
        <charset val="134"/>
      </rPr>
      <t>）</t>
    </r>
  </si>
  <si>
    <r>
      <rPr>
        <sz val="9"/>
        <color rgb="FF7A7A7A"/>
        <rFont val="Noto Sans CJK SC"/>
        <charset val="134"/>
      </rPr>
      <t>说明：电量正</t>
    </r>
    <r>
      <rPr>
        <sz val="9"/>
        <color rgb="FF7A7A7A"/>
        <rFont val="Arial"/>
        <charset val="1"/>
      </rPr>
      <t>=</t>
    </r>
    <r>
      <rPr>
        <sz val="9"/>
        <color rgb="FF7A7A7A"/>
        <rFont val="Noto Sans CJK SC"/>
        <charset val="134"/>
      </rPr>
      <t>放电入网、负</t>
    </r>
    <r>
      <rPr>
        <sz val="9"/>
        <color rgb="FF7A7A7A"/>
        <rFont val="Arial"/>
        <charset val="1"/>
      </rPr>
      <t>=</t>
    </r>
    <r>
      <rPr>
        <sz val="9"/>
        <color rgb="FF7A7A7A"/>
        <rFont val="Noto Sans CJK SC"/>
        <charset val="134"/>
      </rPr>
      <t>充电</t>
    </r>
    <r>
      <rPr>
        <sz val="9"/>
        <color rgb="FF7A7A7A"/>
        <rFont val="Arial"/>
        <charset val="1"/>
      </rPr>
      <t>(</t>
    </r>
    <r>
      <rPr>
        <sz val="9"/>
        <color rgb="FF7A7A7A"/>
        <rFont val="Noto Sans CJK SC"/>
        <charset val="134"/>
      </rPr>
      <t>含效率损耗，户用充</t>
    </r>
    <r>
      <rPr>
        <sz val="9"/>
        <color rgb="FF7A7A7A"/>
        <rFont val="Arial"/>
        <charset val="1"/>
      </rPr>
      <t>15</t>
    </r>
    <r>
      <rPr>
        <sz val="9"/>
        <color rgb="FF7A7A7A"/>
        <rFont val="Noto Sans CJK SC"/>
        <charset val="134"/>
      </rPr>
      <t>售</t>
    </r>
    <r>
      <rPr>
        <sz val="9"/>
        <color rgb="FF7A7A7A"/>
        <rFont val="Arial"/>
        <charset val="1"/>
      </rPr>
      <t>13.5</t>
    </r>
    <r>
      <rPr>
        <sz val="9"/>
        <color rgb="FF7A7A7A"/>
        <rFont val="Noto Sans CJK SC"/>
        <charset val="134"/>
      </rPr>
      <t>；工商充</t>
    </r>
    <r>
      <rPr>
        <sz val="9"/>
        <color rgb="FF7A7A7A"/>
        <rFont val="Arial"/>
        <charset val="1"/>
      </rPr>
      <t>238.9</t>
    </r>
    <r>
      <rPr>
        <sz val="9"/>
        <color rgb="FF7A7A7A"/>
        <rFont val="Noto Sans CJK SC"/>
        <charset val="134"/>
      </rPr>
      <t>售</t>
    </r>
    <r>
      <rPr>
        <sz val="9"/>
        <color rgb="FF7A7A7A"/>
        <rFont val="Arial"/>
        <charset val="1"/>
      </rPr>
      <t>215)</t>
    </r>
    <r>
      <rPr>
        <sz val="9"/>
        <color rgb="FF7A7A7A"/>
        <rFont val="Noto Sans CJK SC"/>
        <charset val="134"/>
      </rPr>
      <t>。蓝</t>
    </r>
    <r>
      <rPr>
        <sz val="9"/>
        <color rgb="FF7A7A7A"/>
        <rFont val="Arial"/>
        <charset val="1"/>
      </rPr>
      <t>=</t>
    </r>
    <r>
      <rPr>
        <sz val="9"/>
        <color rgb="FF7A7A7A"/>
        <rFont val="Noto Sans CJK SC"/>
        <charset val="134"/>
      </rPr>
      <t>调度输入，橙</t>
    </r>
    <r>
      <rPr>
        <sz val="9"/>
        <color rgb="FF7A7A7A"/>
        <rFont val="Arial"/>
        <charset val="1"/>
      </rPr>
      <t>=</t>
    </r>
    <r>
      <rPr>
        <sz val="9"/>
        <color rgb="FF7A7A7A"/>
        <rFont val="Noto Sans CJK SC"/>
        <charset val="134"/>
      </rPr>
      <t>关键结果。典型日略低于年化</t>
    </r>
    <r>
      <rPr>
        <sz val="9"/>
        <color rgb="FF7A7A7A"/>
        <rFont val="Arial"/>
        <charset val="1"/>
      </rPr>
      <t>/365</t>
    </r>
    <r>
      <rPr>
        <sz val="9"/>
        <color rgb="FF7A7A7A"/>
        <rFont val="Noto Sans CJK SC"/>
        <charset val="134"/>
      </rPr>
      <t>，因平均曲线平滑了真实尖峰，年度模型另计季节</t>
    </r>
    <r>
      <rPr>
        <sz val="9"/>
        <color rgb="FF7A7A7A"/>
        <rFont val="Arial"/>
        <charset val="1"/>
      </rPr>
      <t>/</t>
    </r>
    <r>
      <rPr>
        <sz val="9"/>
        <color rgb="FF7A7A7A"/>
        <rFont val="Noto Sans CJK SC"/>
        <charset val="134"/>
      </rPr>
      <t>预见性折减。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</si>
</sst>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#,##0&quot; MW&quot;"/>
    <numFmt numFmtId="178" formatCode="#,##0.#"/>
    <numFmt numFmtId="179" formatCode="0.00&quot;×&quot;"/>
  </numFmts>
  <fonts count="46">
    <font>
      <sz val="11"/>
      <color theme="1"/>
      <name val="Calibri"/>
      <charset val="1"/>
    </font>
    <font>
      <b/>
      <sz val="15"/>
      <color rgb="FFFFFFFF"/>
      <name val="Noto Sans CJK SC"/>
      <charset val="134"/>
    </font>
    <font>
      <sz val="9"/>
      <color rgb="FF7A7A7A"/>
      <name val="Noto Sans CJK SC"/>
      <charset val="134"/>
    </font>
    <font>
      <b/>
      <sz val="12"/>
      <color rgb="FFEC6A2C"/>
      <name val="Noto Sans CJK SC"/>
      <charset val="134"/>
    </font>
    <font>
      <b/>
      <sz val="10.5"/>
      <color rgb="FFFFFFFF"/>
      <name val="Noto Sans CJK SC"/>
      <charset val="134"/>
    </font>
    <font>
      <b/>
      <sz val="10.5"/>
      <color rgb="FFFFFFFF"/>
      <name val="Arial"/>
      <charset val="1"/>
    </font>
    <font>
      <b/>
      <sz val="10"/>
      <color rgb="FF2E2E2E"/>
      <name val="Noto Sans CJK SC"/>
      <charset val="134"/>
    </font>
    <font>
      <b/>
      <sz val="10"/>
      <color rgb="FF2E2E2E"/>
      <name val="Arial"/>
      <charset val="1"/>
    </font>
    <font>
      <b/>
      <sz val="10"/>
      <color rgb="FFEC6A2C"/>
      <name val="Arial"/>
      <charset val="1"/>
    </font>
    <font>
      <sz val="10"/>
      <color rgb="FF2E2E2E"/>
      <name val="Arial"/>
      <charset val="1"/>
    </font>
    <font>
      <sz val="10"/>
      <color rgb="FF0000FF"/>
      <name val="Arial"/>
      <charset val="1"/>
    </font>
    <font>
      <sz val="11"/>
      <color theme="1"/>
      <name val="Noto Sans CJK SC"/>
      <charset val="134"/>
    </font>
    <font>
      <b/>
      <sz val="10.5"/>
      <color rgb="FF2E2E2E"/>
      <name val="Noto Sans CJK SC"/>
      <charset val="134"/>
    </font>
    <font>
      <b/>
      <sz val="10.5"/>
      <color rgb="FF2E2E2E"/>
      <name val="Arial"/>
      <charset val="1"/>
    </font>
    <font>
      <b/>
      <sz val="11"/>
      <color rgb="FFEC6A2C"/>
      <name val="Noto Sans CJK SC"/>
      <charset val="134"/>
    </font>
    <font>
      <b/>
      <sz val="11"/>
      <color rgb="FFEC6A2C"/>
      <name val="Arial"/>
      <charset val="1"/>
    </font>
    <font>
      <sz val="10"/>
      <color rgb="FF7A7A7A"/>
      <name val="Noto Sans CJK SC"/>
      <charset val="134"/>
    </font>
    <font>
      <b/>
      <sz val="15"/>
      <color rgb="FFFFFFFF"/>
      <name val="Arial"/>
      <charset val="1"/>
    </font>
    <font>
      <sz val="10"/>
      <color rgb="FF2E2E2E"/>
      <name val="Noto Sans CJK SC"/>
      <charset val="134"/>
    </font>
    <font>
      <sz val="9"/>
      <color rgb="FF7A7A7A"/>
      <name val="Arial"/>
      <charset val="1"/>
    </font>
    <font>
      <b/>
      <sz val="10"/>
      <color rgb="FFEC6A2C"/>
      <name val="Noto Sans CJK SC"/>
      <charset val="134"/>
    </font>
    <font>
      <b/>
      <sz val="10.5"/>
      <color rgb="FFEC6A2C"/>
      <name val="Arial"/>
      <charset val="1"/>
    </font>
    <font>
      <sz val="10.5"/>
      <color rgb="FF2E2E2E"/>
      <name val="Arial"/>
      <charset val="1"/>
    </font>
    <font>
      <b/>
      <sz val="12"/>
      <color rgb="FFEC6A2C"/>
      <name val="Arial"/>
      <charset val="1"/>
    </font>
    <font>
      <sz val="10"/>
      <color rgb="FF7A7A7A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C6A2C"/>
        <bgColor rgb="FFFF8080"/>
      </patternFill>
    </fill>
    <fill>
      <patternFill patternType="solid">
        <fgColor rgb="FFFCEEE3"/>
        <bgColor rgb="FFEDEDED"/>
      </patternFill>
    </fill>
    <fill>
      <patternFill patternType="solid">
        <fgColor rgb="FFDCE6F1"/>
        <bgColor rgb="FFEDEDED"/>
      </patternFill>
    </fill>
    <fill>
      <patternFill patternType="solid">
        <fgColor rgb="FFEDEDED"/>
        <bgColor rgb="FFFCEEE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5" fillId="0" borderId="0" applyBorder="0" applyAlignment="0" applyProtection="0"/>
    <xf numFmtId="44" fontId="25" fillId="0" borderId="0" applyBorder="0" applyAlignment="0" applyProtection="0"/>
    <xf numFmtId="9" fontId="25" fillId="0" borderId="0" applyBorder="0" applyAlignment="0" applyProtection="0"/>
    <xf numFmtId="41" fontId="25" fillId="0" borderId="0" applyBorder="0" applyAlignment="0" applyProtection="0"/>
    <xf numFmtId="42" fontId="25" fillId="0" borderId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2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4" fillId="0" borderId="4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7" borderId="5" applyNumberFormat="0" applyAlignment="0" applyProtection="0">
      <alignment vertical="center"/>
    </xf>
    <xf numFmtId="0" fontId="36" fillId="8" borderId="6" applyNumberFormat="0" applyAlignment="0" applyProtection="0">
      <alignment vertical="center"/>
    </xf>
    <xf numFmtId="0" fontId="37" fillId="8" borderId="5" applyNumberFormat="0" applyAlignment="0" applyProtection="0">
      <alignment vertical="center"/>
    </xf>
    <xf numFmtId="0" fontId="38" fillId="9" borderId="7" applyNumberFormat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</cellStyleXfs>
  <cellXfs count="57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4" fontId="10" fillId="0" borderId="1" xfId="0" applyNumberFormat="1" applyFont="1" applyBorder="1"/>
    <xf numFmtId="4" fontId="0" fillId="0" borderId="1" xfId="0" applyNumberForma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4" fontId="10" fillId="4" borderId="1" xfId="0" applyNumberFormat="1" applyFont="1" applyFill="1" applyBorder="1"/>
    <xf numFmtId="0" fontId="11" fillId="5" borderId="1" xfId="0" applyFont="1" applyFill="1" applyBorder="1" applyAlignment="1">
      <alignment horizontal="center" vertical="center" wrapText="1"/>
    </xf>
    <xf numFmtId="4" fontId="10" fillId="5" borderId="1" xfId="0" applyNumberFormat="1" applyFont="1" applyFill="1" applyBorder="1"/>
    <xf numFmtId="0" fontId="11" fillId="3" borderId="1" xfId="0" applyFont="1" applyFill="1" applyBorder="1" applyAlignment="1">
      <alignment horizontal="center" vertical="center" wrapText="1"/>
    </xf>
    <xf numFmtId="4" fontId="10" fillId="3" borderId="1" xfId="0" applyNumberFormat="1" applyFont="1" applyFill="1" applyBorder="1"/>
    <xf numFmtId="0" fontId="12" fillId="0" borderId="1" xfId="0" applyFont="1" applyBorder="1" applyAlignment="1">
      <alignment horizontal="right" vertical="center"/>
    </xf>
    <xf numFmtId="4" fontId="1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13" fillId="0" borderId="1" xfId="0" applyFont="1" applyBorder="1" applyAlignment="1">
      <alignment horizontal="right" vertical="center"/>
    </xf>
    <xf numFmtId="0" fontId="14" fillId="3" borderId="1" xfId="0" applyFont="1" applyFill="1" applyBorder="1" applyAlignment="1">
      <alignment horizontal="right" vertical="center"/>
    </xf>
    <xf numFmtId="4" fontId="15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16" fillId="0" borderId="1" xfId="0" applyFont="1" applyBorder="1" applyAlignment="1">
      <alignment horizontal="right" vertical="center"/>
    </xf>
    <xf numFmtId="3" fontId="13" fillId="0" borderId="1" xfId="0" applyNumberFormat="1" applyFont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177" fontId="13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76" fontId="21" fillId="3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3" fontId="8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79" fontId="7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76" fontId="23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2" fontId="10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7A7A7A"/>
      <rgbColor rgb="009999FF"/>
      <rgbColor rgb="00BE4B48"/>
      <rgbColor rgb="00FCEEE3"/>
      <rgbColor rgb="00DCE6F1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DEDE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8B855"/>
      <rgbColor rgb="00FFCC00"/>
      <rgbColor rgb="00FF9900"/>
      <rgbColor rgb="00EC6A2C"/>
      <rgbColor rgb="004A7EBB"/>
      <rgbColor rgb="00878787"/>
      <rgbColor rgb="00003366"/>
      <rgbColor rgb="00339966"/>
      <rgbColor rgb="00003300"/>
      <rgbColor rgb="00333300"/>
      <rgbColor rgb="00993300"/>
      <rgbColor rgb="00993366"/>
      <rgbColor rgb="00333399"/>
      <rgbColor rgb="002E2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9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JV 收入增长轨迹 (万 AUD/年)</a:t>
            </a:r>
            <a:endParaRPr sz="1800" b="1" u="none" strike="noStrike">
              <a:solidFill>
                <a:srgbClr val="000000"/>
              </a:solidFill>
              <a:uFillTx/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增长轨迹!$B$3</c:f>
              <c:strCache>
                <c:ptCount val="1"/>
                <c:pt idx="0">
                  <c:v>民居 VPP</c:v>
                </c:pt>
              </c:strCache>
            </c:strRef>
          </c:tx>
          <c:spPr>
            <a:ln w="1260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9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1260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增长轨迹!$A$4:$A$7</c:f>
              <c:strCache>
                <c:ptCount val="4"/>
                <c:pt idx="0">
                  <c:v>2026 Q4</c:v>
                </c:pt>
                <c:pt idx="1">
                  <c:v>2027</c:v>
                </c:pt>
                <c:pt idx="2">
                  <c:v>2028 H1</c:v>
                </c:pt>
                <c:pt idx="3">
                  <c:v>2029+</c:v>
                </c:pt>
              </c:strCache>
            </c:strRef>
          </c:cat>
          <c:val>
            <c:numRef>
              <c:f>增长轨迹!$B$4:$B$7</c:f>
              <c:numCache>
                <c:formatCode>#,##0</c:formatCode>
                <c:ptCount val="4"/>
                <c:pt idx="0">
                  <c:v>65</c:v>
                </c:pt>
                <c:pt idx="1">
                  <c:v>100</c:v>
                </c:pt>
                <c:pt idx="2">
                  <c:v>130</c:v>
                </c:pt>
                <c:pt idx="3">
                  <c:v>324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增长轨迹!$C$3</c:f>
              <c:strCache>
                <c:ptCount val="1"/>
                <c:pt idx="0">
                  <c:v>工商业 VPP</c:v>
                </c:pt>
              </c:strCache>
            </c:strRef>
          </c:tx>
          <c:spPr>
            <a:ln w="12600" cap="rnd" cmpd="sng" algn="ctr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9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1260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增长轨迹!$A$4:$A$7</c:f>
              <c:strCache>
                <c:ptCount val="4"/>
                <c:pt idx="0">
                  <c:v>2026 Q4</c:v>
                </c:pt>
                <c:pt idx="1">
                  <c:v>2027</c:v>
                </c:pt>
                <c:pt idx="2">
                  <c:v>2028 H1</c:v>
                </c:pt>
                <c:pt idx="3">
                  <c:v>2029+</c:v>
                </c:pt>
              </c:strCache>
            </c:strRef>
          </c:cat>
          <c:val>
            <c:numRef>
              <c:f>增长轨迹!$C$4:$C$7</c:f>
              <c:numCache>
                <c:formatCode>#,##0</c:formatCode>
                <c:ptCount val="4"/>
                <c:pt idx="0">
                  <c:v>92</c:v>
                </c:pt>
                <c:pt idx="1">
                  <c:v>160</c:v>
                </c:pt>
                <c:pt idx="2">
                  <c:v>230</c:v>
                </c:pt>
                <c:pt idx="3">
                  <c:v>459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增长轨迹!$D$3</c:f>
              <c:strCache>
                <c:ptCount val="1"/>
                <c:pt idx="0">
                  <c:v>BESS 运营</c:v>
                </c:pt>
              </c:strCache>
            </c:strRef>
          </c:tx>
          <c:spPr>
            <a:ln w="12600" cap="rnd" cmpd="sng" algn="ctr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9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1260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增长轨迹!$A$4:$A$7</c:f>
              <c:strCache>
                <c:ptCount val="4"/>
                <c:pt idx="0">
                  <c:v>2026 Q4</c:v>
                </c:pt>
                <c:pt idx="1">
                  <c:v>2027</c:v>
                </c:pt>
                <c:pt idx="2">
                  <c:v>2028 H1</c:v>
                </c:pt>
                <c:pt idx="3">
                  <c:v>2029+</c:v>
                </c:pt>
              </c:strCache>
            </c:strRef>
          </c:cat>
          <c:val>
            <c:numRef>
              <c:f>增长轨迹!$D$4:$D$7</c:f>
              <c:numCache>
                <c:formatCode>#,##0</c:formatCode>
                <c:ptCount val="4"/>
                <c:pt idx="0">
                  <c:v>80</c:v>
                </c:pt>
                <c:pt idx="1">
                  <c:v>450</c:v>
                </c:pt>
                <c:pt idx="2">
                  <c:v>1000</c:v>
                </c:pt>
                <c:pt idx="3">
                  <c:v>2000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90078716"/>
        <c:axId val="71634267"/>
      </c:lineChart>
      <c:catAx>
        <c:axId val="9007871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9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时点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71634267"/>
        <c:crosses val="autoZero"/>
        <c:auto val="1"/>
        <c:lblAlgn val="ctr"/>
        <c:lblOffset val="100"/>
        <c:noMultiLvlLbl val="0"/>
      </c:catAx>
      <c:valAx>
        <c:axId val="71634267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9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万 AUD/年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900787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000000"/>
              </a:solidFill>
              <a:uFillTx/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6ae3f4-c0e8-48d4-8c8f-154be04a4e0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6</xdr:col>
      <xdr:colOff>355320</xdr:colOff>
      <xdr:row>25</xdr:row>
      <xdr:rowOff>11880</xdr:rowOff>
    </xdr:to>
    <xdr:graphicFrame>
      <xdr:nvGraphicFramePr>
        <xdr:cNvPr id="2" name="Chart 1"/>
        <xdr:cNvGraphicFramePr/>
      </xdr:nvGraphicFramePr>
      <xdr:xfrm>
        <a:off x="0" y="2059305"/>
        <a:ext cx="6587490" cy="3425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1"/>
  <sheetViews>
    <sheetView showGridLines="0" workbookViewId="0">
      <selection activeCell="A1" sqref="A1:H1"/>
    </sheetView>
  </sheetViews>
  <sheetFormatPr defaultColWidth="8.6796875" defaultRowHeight="16.8" outlineLevelCol="7"/>
  <cols>
    <col min="1" max="1" width="16" customWidth="1"/>
    <col min="2" max="2" width="14" customWidth="1"/>
    <col min="3" max="3" width="22" customWidth="1"/>
    <col min="4" max="4" width="30" customWidth="1"/>
  </cols>
  <sheetData>
    <row r="1" ht="27.75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</row>
    <row r="4" ht="17.6" spans="1:8">
      <c r="A4" s="3" t="s">
        <v>2</v>
      </c>
    </row>
    <row r="5" spans="1:8">
      <c r="A5" s="4" t="s">
        <v>3</v>
      </c>
      <c r="B5" s="4" t="s">
        <v>4</v>
      </c>
      <c r="C5" s="4" t="s">
        <v>5</v>
      </c>
      <c r="D5" s="4" t="s">
        <v>6</v>
      </c>
    </row>
    <row r="6" ht="17.6" spans="1:8">
      <c r="A6" s="50" t="s">
        <v>7</v>
      </c>
      <c r="B6" s="51" t="s">
        <v>8</v>
      </c>
      <c r="C6" s="52">
        <f>聚合规模与收益!H7</f>
        <v>236.72</v>
      </c>
      <c r="D6" s="53" t="s">
        <v>9</v>
      </c>
    </row>
    <row r="7" ht="17.6" spans="1:8">
      <c r="A7" s="50" t="s">
        <v>10</v>
      </c>
      <c r="B7" s="51" t="s">
        <v>11</v>
      </c>
      <c r="C7" s="52">
        <f>聚合规模与收益!H11</f>
        <v>1359.31</v>
      </c>
      <c r="D7" s="53" t="s">
        <v>12</v>
      </c>
    </row>
    <row r="8" ht="17.6" spans="1:8">
      <c r="A8" s="50" t="s">
        <v>13</v>
      </c>
      <c r="B8" s="51" t="s">
        <v>14</v>
      </c>
      <c r="C8" s="52">
        <f>聚合规模与收益!H15</f>
        <v>2783.6</v>
      </c>
      <c r="D8" s="53" t="s">
        <v>15</v>
      </c>
    </row>
    <row r="11" ht="18" spans="1:8">
      <c r="A11" s="3" t="s">
        <v>16</v>
      </c>
    </row>
    <row r="12" spans="1:8">
      <c r="A12" s="4" t="s">
        <v>17</v>
      </c>
      <c r="B12" s="4" t="s">
        <v>18</v>
      </c>
    </row>
    <row r="13" spans="1:8">
      <c r="A13" s="45" t="s">
        <v>19</v>
      </c>
      <c r="B13" s="54">
        <v>0.3</v>
      </c>
    </row>
    <row r="14" ht="31" spans="1:8">
      <c r="A14" s="55" t="s">
        <v>20</v>
      </c>
      <c r="B14" s="54">
        <v>1</v>
      </c>
    </row>
    <row r="15" spans="1:8">
      <c r="A15" s="45" t="s">
        <v>21</v>
      </c>
      <c r="B15" s="54">
        <v>0.9</v>
      </c>
    </row>
    <row r="16" ht="31" spans="1:8">
      <c r="A16" s="45" t="s">
        <v>22</v>
      </c>
      <c r="B16" s="56">
        <v>0.8</v>
      </c>
    </row>
    <row r="17" ht="31" spans="1:2">
      <c r="A17" s="45" t="s">
        <v>23</v>
      </c>
      <c r="B17" s="56">
        <v>0.85</v>
      </c>
    </row>
    <row r="18" ht="31" spans="1:2">
      <c r="A18" s="55" t="s">
        <v>24</v>
      </c>
      <c r="B18" s="32">
        <v>40000</v>
      </c>
    </row>
    <row r="19" ht="31" spans="1:2">
      <c r="A19" s="55" t="s">
        <v>25</v>
      </c>
      <c r="B19" s="32">
        <v>190</v>
      </c>
    </row>
    <row r="21" spans="1:2">
      <c r="A21" s="2" t="s">
        <v>26</v>
      </c>
    </row>
  </sheetData>
  <mergeCells count="1">
    <mergeCell ref="A1:H1"/>
  </mergeCells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showGridLines="0" workbookViewId="0">
      <selection activeCell="A1" sqref="A1:D1"/>
    </sheetView>
  </sheetViews>
  <sheetFormatPr defaultColWidth="8.6796875" defaultRowHeight="16.8" outlineLevelCol="3"/>
  <cols>
    <col min="1" max="1" width="34" customWidth="1"/>
    <col min="2" max="3" width="18" customWidth="1"/>
  </cols>
  <sheetData>
    <row r="1" ht="27.75" customHeight="1" spans="1:4">
      <c r="A1" s="1" t="s">
        <v>27</v>
      </c>
      <c r="B1" s="1"/>
      <c r="C1" s="1"/>
      <c r="D1" s="1"/>
    </row>
    <row r="2" spans="1:4">
      <c r="A2" s="2" t="s">
        <v>28</v>
      </c>
    </row>
    <row r="3" spans="1:4">
      <c r="A3" s="4" t="s">
        <v>29</v>
      </c>
      <c r="B3" s="4" t="s">
        <v>30</v>
      </c>
      <c r="C3" s="4" t="s">
        <v>31</v>
      </c>
    </row>
    <row r="4" spans="1:4">
      <c r="A4" s="45" t="s">
        <v>32</v>
      </c>
      <c r="B4" s="46">
        <v>13.5</v>
      </c>
      <c r="C4" s="46">
        <v>215</v>
      </c>
    </row>
    <row r="5" spans="1:4">
      <c r="A5" s="45" t="s">
        <v>33</v>
      </c>
      <c r="B5" s="32">
        <v>5</v>
      </c>
      <c r="C5" s="32">
        <v>100</v>
      </c>
    </row>
    <row r="6" spans="1:4">
      <c r="A6" s="45" t="s">
        <v>34</v>
      </c>
      <c r="B6" s="32">
        <v>931</v>
      </c>
      <c r="C6" s="32">
        <v>8283</v>
      </c>
    </row>
    <row r="7" spans="1:4">
      <c r="A7" s="45" t="s">
        <v>35</v>
      </c>
      <c r="B7" s="32">
        <v>904</v>
      </c>
      <c r="C7" s="32">
        <v>11480</v>
      </c>
    </row>
    <row r="8" spans="1:4">
      <c r="A8" s="45" t="s">
        <v>36</v>
      </c>
      <c r="B8" s="32">
        <v>179</v>
      </c>
      <c r="C8" s="32">
        <v>3810</v>
      </c>
    </row>
    <row r="9" spans="1:4">
      <c r="A9" s="6" t="s">
        <v>37</v>
      </c>
      <c r="B9" s="47">
        <f>B7+B8</f>
        <v>1083</v>
      </c>
      <c r="C9" s="47">
        <f>C7+C8</f>
        <v>15290</v>
      </c>
    </row>
    <row r="10" spans="1:4">
      <c r="A10" s="48" t="s">
        <v>38</v>
      </c>
      <c r="B10" s="49">
        <f>B9/B6</f>
        <v>1.16326530612245</v>
      </c>
      <c r="C10" s="49">
        <f>C9/C6</f>
        <v>1.84594953519256</v>
      </c>
    </row>
    <row r="11" spans="1:4">
      <c r="A11" s="48" t="s">
        <v>39</v>
      </c>
      <c r="B11" s="40">
        <f>B9/B5</f>
        <v>216.6</v>
      </c>
      <c r="C11" s="40">
        <f>C9/C5</f>
        <v>152.9</v>
      </c>
    </row>
    <row r="12" spans="1:4">
      <c r="A12" s="6" t="s">
        <v>40</v>
      </c>
      <c r="B12" s="47">
        <f>B9*测算总览!$B$13</f>
        <v>324.9</v>
      </c>
      <c r="C12" s="47">
        <f>C9*测算总览!$B$13</f>
        <v>4587</v>
      </c>
    </row>
    <row r="13" spans="1:4">
      <c r="A13" s="48" t="s">
        <v>41</v>
      </c>
      <c r="B13" s="40">
        <f>B11*测算总览!$B$13</f>
        <v>64.98</v>
      </c>
      <c r="C13" s="40">
        <f>C11*测算总览!$B$13</f>
        <v>45.87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5"/>
  <sheetViews>
    <sheetView showGridLines="0" workbookViewId="0">
      <selection activeCell="A1" sqref="A1:I1"/>
    </sheetView>
  </sheetViews>
  <sheetFormatPr defaultColWidth="8.6796875" defaultRowHeight="16.8"/>
  <cols>
    <col min="1" max="1" width="12" customWidth="1"/>
    <col min="2" max="3" width="13" customWidth="1"/>
    <col min="4" max="4" width="11" customWidth="1"/>
    <col min="5" max="5" width="13" customWidth="1"/>
    <col min="6" max="6" width="16" customWidth="1"/>
    <col min="7" max="7" width="8" customWidth="1"/>
    <col min="8" max="8" width="18" customWidth="1"/>
    <col min="9" max="9" width="24" customWidth="1"/>
  </cols>
  <sheetData>
    <row r="1" ht="27.75" customHeight="1" spans="1:9">
      <c r="A1" s="1" t="s">
        <v>42</v>
      </c>
      <c r="B1" s="1"/>
      <c r="C1" s="1"/>
      <c r="D1" s="1"/>
      <c r="E1" s="1"/>
      <c r="F1" s="1"/>
      <c r="G1" s="1"/>
      <c r="H1" s="1"/>
      <c r="I1" s="1"/>
    </row>
    <row r="3" spans="1:9">
      <c r="A3" s="4" t="s">
        <v>3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5</v>
      </c>
      <c r="I3" s="4" t="s">
        <v>49</v>
      </c>
    </row>
    <row r="4" spans="1:9">
      <c r="A4" s="34" t="s">
        <v>50</v>
      </c>
      <c r="B4" s="35" t="s">
        <v>51</v>
      </c>
      <c r="C4" s="36">
        <v>10</v>
      </c>
      <c r="D4" s="37">
        <f>单位经济性测算!$B$11</f>
        <v>216.6</v>
      </c>
      <c r="E4" s="38" t="s">
        <v>52</v>
      </c>
      <c r="F4" s="11">
        <f>C4*D4/10</f>
        <v>216.6</v>
      </c>
      <c r="G4" s="39">
        <f>测算总览!$B$13</f>
        <v>0.3</v>
      </c>
      <c r="H4" s="40">
        <f>F4*G4</f>
        <v>64.98</v>
      </c>
      <c r="I4" s="38" t="s">
        <v>53</v>
      </c>
    </row>
    <row r="5" spans="1:9">
      <c r="A5" s="34"/>
      <c r="B5" s="35" t="s">
        <v>54</v>
      </c>
      <c r="C5" s="36">
        <v>20</v>
      </c>
      <c r="D5" s="37">
        <f>单位经济性测算!$C$11</f>
        <v>152.9</v>
      </c>
      <c r="E5" s="38" t="s">
        <v>52</v>
      </c>
      <c r="F5" s="11">
        <f>C5*D5/10</f>
        <v>305.8</v>
      </c>
      <c r="G5" s="39">
        <f>测算总览!$B$13</f>
        <v>0.3</v>
      </c>
      <c r="H5" s="40">
        <f>F5*G5</f>
        <v>91.74</v>
      </c>
      <c r="I5" s="38" t="s">
        <v>55</v>
      </c>
    </row>
    <row r="6" spans="1:9">
      <c r="A6" s="34"/>
      <c r="B6" s="10" t="s">
        <v>56</v>
      </c>
      <c r="C6" s="36">
        <v>20</v>
      </c>
      <c r="D6" s="37">
        <f>测算总览!$B$18</f>
        <v>40000</v>
      </c>
      <c r="E6" s="38" t="s">
        <v>57</v>
      </c>
      <c r="F6" s="11">
        <f>C6*D6/10000</f>
        <v>80</v>
      </c>
      <c r="G6" s="39">
        <f>测算总览!$B$14</f>
        <v>1</v>
      </c>
      <c r="H6" s="40">
        <f>F6*G6</f>
        <v>80</v>
      </c>
      <c r="I6" s="38" t="s">
        <v>58</v>
      </c>
    </row>
    <row r="7" spans="1:9">
      <c r="A7" s="41" t="s">
        <v>59</v>
      </c>
      <c r="B7" s="41" t="s">
        <v>60</v>
      </c>
      <c r="C7" s="42">
        <f>SUM(C4:C6)</f>
        <v>50</v>
      </c>
      <c r="D7" s="43"/>
      <c r="E7" s="43"/>
      <c r="F7" s="44">
        <f>SUM(F4:F6)</f>
        <v>602.4</v>
      </c>
      <c r="G7" s="43"/>
      <c r="H7" s="44">
        <f>SUM(H4:H6)</f>
        <v>236.72</v>
      </c>
      <c r="I7" s="43"/>
    </row>
    <row r="8" spans="1:9">
      <c r="A8" s="34" t="s">
        <v>61</v>
      </c>
      <c r="B8" s="35" t="s">
        <v>51</v>
      </c>
      <c r="C8" s="36">
        <v>20</v>
      </c>
      <c r="D8" s="37">
        <f>单位经济性测算!$B$11</f>
        <v>216.6</v>
      </c>
      <c r="E8" s="38" t="s">
        <v>52</v>
      </c>
      <c r="F8" s="11">
        <f>C8*D8/10</f>
        <v>433.2</v>
      </c>
      <c r="G8" s="39">
        <f>测算总览!$B$13</f>
        <v>0.3</v>
      </c>
      <c r="H8" s="40">
        <f>F8*G8</f>
        <v>129.96</v>
      </c>
      <c r="I8" s="38" t="s">
        <v>53</v>
      </c>
    </row>
    <row r="9" spans="1:9">
      <c r="A9" s="34"/>
      <c r="B9" s="35" t="s">
        <v>54</v>
      </c>
      <c r="C9" s="36">
        <v>50</v>
      </c>
      <c r="D9" s="37">
        <f>单位经济性测算!$C$11</f>
        <v>152.9</v>
      </c>
      <c r="E9" s="38" t="s">
        <v>52</v>
      </c>
      <c r="F9" s="11">
        <f>C9*D9/10</f>
        <v>764.5</v>
      </c>
      <c r="G9" s="39">
        <f>测算总览!$B$13</f>
        <v>0.3</v>
      </c>
      <c r="H9" s="40">
        <f>F9*G9</f>
        <v>229.35</v>
      </c>
      <c r="I9" s="38" t="s">
        <v>55</v>
      </c>
    </row>
    <row r="10" spans="1:9">
      <c r="A10" s="34"/>
      <c r="B10" s="10" t="s">
        <v>56</v>
      </c>
      <c r="C10" s="36">
        <v>250</v>
      </c>
      <c r="D10" s="37">
        <f>测算总览!$B$18</f>
        <v>40000</v>
      </c>
      <c r="E10" s="38" t="s">
        <v>57</v>
      </c>
      <c r="F10" s="11">
        <f>C10*D10/10000</f>
        <v>1000</v>
      </c>
      <c r="G10" s="39">
        <f>测算总览!$B$14</f>
        <v>1</v>
      </c>
      <c r="H10" s="40">
        <f>F10*G10</f>
        <v>1000</v>
      </c>
      <c r="I10" s="38" t="s">
        <v>58</v>
      </c>
    </row>
    <row r="11" spans="1:9">
      <c r="A11" s="41" t="s">
        <v>59</v>
      </c>
      <c r="B11" s="41" t="s">
        <v>62</v>
      </c>
      <c r="C11" s="42">
        <f>SUM(C8:C10)</f>
        <v>320</v>
      </c>
      <c r="D11" s="43"/>
      <c r="E11" s="43"/>
      <c r="F11" s="44">
        <f>SUM(F8:F10)</f>
        <v>2197.7</v>
      </c>
      <c r="G11" s="43"/>
      <c r="H11" s="44">
        <f>SUM(H8:H10)</f>
        <v>1359.31</v>
      </c>
      <c r="I11" s="43"/>
    </row>
    <row r="12" spans="1:9">
      <c r="A12" s="34" t="s">
        <v>63</v>
      </c>
      <c r="B12" s="35" t="s">
        <v>51</v>
      </c>
      <c r="C12" s="36">
        <v>50</v>
      </c>
      <c r="D12" s="37">
        <f>单位经济性测算!$B$11</f>
        <v>216.6</v>
      </c>
      <c r="E12" s="38" t="s">
        <v>52</v>
      </c>
      <c r="F12" s="11">
        <f>C12*D12/10</f>
        <v>1083</v>
      </c>
      <c r="G12" s="39">
        <f>测算总览!$B$13</f>
        <v>0.3</v>
      </c>
      <c r="H12" s="40">
        <f>F12*G12</f>
        <v>324.9</v>
      </c>
      <c r="I12" s="38" t="s">
        <v>53</v>
      </c>
    </row>
    <row r="13" spans="1:9">
      <c r="A13" s="34"/>
      <c r="B13" s="35" t="s">
        <v>54</v>
      </c>
      <c r="C13" s="36">
        <v>100</v>
      </c>
      <c r="D13" s="37">
        <f>单位经济性测算!$C$11</f>
        <v>152.9</v>
      </c>
      <c r="E13" s="38" t="s">
        <v>52</v>
      </c>
      <c r="F13" s="11">
        <f>C13*D13/10</f>
        <v>1529</v>
      </c>
      <c r="G13" s="39">
        <f>测算总览!$B$13</f>
        <v>0.3</v>
      </c>
      <c r="H13" s="40">
        <f>F13*G13</f>
        <v>458.7</v>
      </c>
      <c r="I13" s="38" t="s">
        <v>55</v>
      </c>
    </row>
    <row r="14" spans="1:9">
      <c r="A14" s="34"/>
      <c r="B14" s="10" t="s">
        <v>56</v>
      </c>
      <c r="C14" s="36">
        <v>500</v>
      </c>
      <c r="D14" s="37">
        <f>测算总览!$B$18</f>
        <v>40000</v>
      </c>
      <c r="E14" s="38" t="s">
        <v>57</v>
      </c>
      <c r="F14" s="11">
        <f>C14*D14/10000</f>
        <v>2000</v>
      </c>
      <c r="G14" s="39">
        <f>测算总览!$B$14</f>
        <v>1</v>
      </c>
      <c r="H14" s="40">
        <f>F14*G14</f>
        <v>2000</v>
      </c>
      <c r="I14" s="38" t="s">
        <v>58</v>
      </c>
    </row>
    <row r="15" spans="1:9">
      <c r="A15" s="41" t="s">
        <v>59</v>
      </c>
      <c r="B15" s="41" t="s">
        <v>64</v>
      </c>
      <c r="C15" s="42">
        <f>SUM(C12:C14)</f>
        <v>650</v>
      </c>
      <c r="D15" s="43"/>
      <c r="E15" s="43"/>
      <c r="F15" s="44">
        <f>SUM(F12:F14)</f>
        <v>4612</v>
      </c>
      <c r="G15" s="43"/>
      <c r="H15" s="44">
        <f>SUM(H12:H14)</f>
        <v>2783.6</v>
      </c>
      <c r="I15" s="43"/>
    </row>
  </sheetData>
  <mergeCells count="1">
    <mergeCell ref="A1:I1"/>
  </mergeCells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7"/>
  <sheetViews>
    <sheetView showGridLines="0" workbookViewId="0">
      <selection activeCell="A1" sqref="A1:E1"/>
    </sheetView>
  </sheetViews>
  <sheetFormatPr defaultColWidth="8.6796875" defaultRowHeight="16.8" outlineLevelRow="6" outlineLevelCol="4"/>
  <cols>
    <col min="1" max="4" width="14" customWidth="1"/>
    <col min="5" max="5" width="12" customWidth="1"/>
  </cols>
  <sheetData>
    <row r="1" ht="27.75" customHeight="1" spans="1:5">
      <c r="A1" s="30" t="s">
        <v>65</v>
      </c>
      <c r="B1" s="30"/>
      <c r="C1" s="30"/>
      <c r="D1" s="30"/>
      <c r="E1" s="30"/>
    </row>
    <row r="3" spans="1:5">
      <c r="A3" s="4" t="s">
        <v>66</v>
      </c>
      <c r="B3" s="4" t="s">
        <v>67</v>
      </c>
      <c r="C3" s="4" t="s">
        <v>68</v>
      </c>
      <c r="D3" s="5" t="s">
        <v>69</v>
      </c>
      <c r="E3" s="4" t="s">
        <v>70</v>
      </c>
    </row>
    <row r="4" spans="1:5">
      <c r="A4" s="31" t="s">
        <v>71</v>
      </c>
      <c r="B4" s="32">
        <v>65</v>
      </c>
      <c r="C4" s="32">
        <v>92</v>
      </c>
      <c r="D4" s="32">
        <v>80</v>
      </c>
      <c r="E4" s="33">
        <f>SUM(B4:D4)</f>
        <v>237</v>
      </c>
    </row>
    <row r="5" spans="1:5">
      <c r="A5" s="31" t="s">
        <v>72</v>
      </c>
      <c r="B5" s="32">
        <v>100</v>
      </c>
      <c r="C5" s="32">
        <v>160</v>
      </c>
      <c r="D5" s="32">
        <v>450</v>
      </c>
      <c r="E5" s="33">
        <f>SUM(B5:D5)</f>
        <v>710</v>
      </c>
    </row>
    <row r="6" spans="1:5">
      <c r="A6" s="31" t="s">
        <v>73</v>
      </c>
      <c r="B6" s="32">
        <v>130</v>
      </c>
      <c r="C6" s="32">
        <v>230</v>
      </c>
      <c r="D6" s="32">
        <v>1000</v>
      </c>
      <c r="E6" s="33">
        <f>SUM(B6:D6)</f>
        <v>1360</v>
      </c>
    </row>
    <row r="7" spans="1:5">
      <c r="A7" s="31" t="s">
        <v>74</v>
      </c>
      <c r="B7" s="32">
        <v>324</v>
      </c>
      <c r="C7" s="32">
        <v>459</v>
      </c>
      <c r="D7" s="32">
        <v>2000</v>
      </c>
      <c r="E7" s="33">
        <f>SUM(B7:D7)</f>
        <v>2783</v>
      </c>
    </row>
  </sheetData>
  <mergeCells count="1">
    <mergeCell ref="A1:E1"/>
  </mergeCells>
  <pageMargins left="0.75" right="0.75" top="1" bottom="1" header="0.511811023622047" footer="0.511811023622047"/>
  <pageSetup paperSize="1" fitToHeight="0" orientation="landscape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0"/>
  <sheetViews>
    <sheetView showGridLines="0" tabSelected="1" workbookViewId="0">
      <pane ySplit="9" topLeftCell="A10" activePane="bottomLeft" state="frozen"/>
      <selection/>
      <selection pane="bottomLeft" activeCell="J21" sqref="J21"/>
    </sheetView>
  </sheetViews>
  <sheetFormatPr defaultColWidth="8.6796875" defaultRowHeight="16.8" outlineLevelCol="7"/>
  <cols>
    <col min="1" max="1" width="8" customWidth="1"/>
    <col min="2" max="2" width="15" customWidth="1"/>
    <col min="3" max="3" width="12" customWidth="1"/>
    <col min="4" max="4" width="15" customWidth="1"/>
    <col min="5" max="5" width="13" customWidth="1"/>
    <col min="6" max="6" width="14" customWidth="1"/>
    <col min="7" max="7" width="17" customWidth="1"/>
    <col min="8" max="8" width="13" customWidth="1"/>
  </cols>
  <sheetData>
    <row r="1" ht="27.75" customHeight="1" spans="1:8">
      <c r="A1" s="1" t="s">
        <v>75</v>
      </c>
      <c r="B1" s="1"/>
      <c r="C1" s="1"/>
      <c r="D1" s="1"/>
      <c r="E1" s="1"/>
      <c r="F1" s="1"/>
      <c r="G1" s="1"/>
      <c r="H1" s="1"/>
    </row>
    <row r="2" spans="1:8">
      <c r="A2" s="2" t="s">
        <v>76</v>
      </c>
    </row>
    <row r="4" ht="17.6" spans="1:8">
      <c r="A4" s="3" t="s">
        <v>77</v>
      </c>
    </row>
    <row r="5" spans="1:8">
      <c r="A5" s="4" t="s">
        <v>78</v>
      </c>
      <c r="B5" s="4" t="s">
        <v>79</v>
      </c>
      <c r="C5" s="5" t="s">
        <v>80</v>
      </c>
      <c r="D5" s="4" t="s">
        <v>81</v>
      </c>
      <c r="E5" s="4" t="s">
        <v>82</v>
      </c>
      <c r="F5" s="4" t="s">
        <v>83</v>
      </c>
    </row>
    <row r="6" ht="61" spans="1:8">
      <c r="A6" s="6" t="s">
        <v>84</v>
      </c>
      <c r="B6" s="7">
        <f>E34</f>
        <v>2.3271</v>
      </c>
      <c r="C6" s="7">
        <f>E35</f>
        <v>0.544901065449011</v>
      </c>
      <c r="D6" s="8">
        <f>E36</f>
        <v>2.87200106544901</v>
      </c>
      <c r="E6" s="8">
        <f>E37</f>
        <v>0.861600319634703</v>
      </c>
      <c r="F6" s="9">
        <f>E38</f>
        <v>1048.28038888889</v>
      </c>
    </row>
    <row r="7" ht="61" spans="1:8">
      <c r="A7" s="6" t="s">
        <v>85</v>
      </c>
      <c r="B7" s="7">
        <f>H34</f>
        <v>28.07528</v>
      </c>
      <c r="C7" s="7">
        <f>H35</f>
        <v>11.5981735159817</v>
      </c>
      <c r="D7" s="8">
        <f>H36</f>
        <v>39.6734535159817</v>
      </c>
      <c r="E7" s="8">
        <f>H37</f>
        <v>11.9020360547945</v>
      </c>
      <c r="F7" s="9">
        <f>H38</f>
        <v>14480.8105333333</v>
      </c>
    </row>
    <row r="9" spans="1:8">
      <c r="A9" s="4" t="s">
        <v>86</v>
      </c>
      <c r="B9" s="4" t="s">
        <v>87</v>
      </c>
      <c r="C9" s="4" t="s">
        <v>88</v>
      </c>
      <c r="D9" s="4" t="s">
        <v>89</v>
      </c>
      <c r="E9" s="4" t="s">
        <v>90</v>
      </c>
      <c r="F9" s="4" t="s">
        <v>91</v>
      </c>
      <c r="G9" s="4" t="s">
        <v>92</v>
      </c>
      <c r="H9" s="4" t="s">
        <v>93</v>
      </c>
    </row>
    <row r="10" ht="17" spans="1:8">
      <c r="A10" s="10" t="s">
        <v>94</v>
      </c>
      <c r="B10" s="11">
        <v>90.2</v>
      </c>
      <c r="C10" s="12" t="s">
        <v>95</v>
      </c>
      <c r="D10" s="13">
        <v>0</v>
      </c>
      <c r="E10" s="14">
        <f t="shared" ref="E10:E33" si="0">B10*D10/1000</f>
        <v>0</v>
      </c>
      <c r="F10" s="12" t="s">
        <v>95</v>
      </c>
      <c r="G10" s="13">
        <v>0</v>
      </c>
      <c r="H10" s="14">
        <f t="shared" ref="H10:H33" si="1">B10*G10/1000</f>
        <v>0</v>
      </c>
    </row>
    <row r="11" ht="17" spans="1:8">
      <c r="A11" s="10" t="s">
        <v>96</v>
      </c>
      <c r="B11" s="11">
        <v>86.1</v>
      </c>
      <c r="C11" s="12" t="s">
        <v>95</v>
      </c>
      <c r="D11" s="13">
        <v>0</v>
      </c>
      <c r="E11" s="14">
        <f t="shared" si="0"/>
        <v>0</v>
      </c>
      <c r="F11" s="12" t="s">
        <v>95</v>
      </c>
      <c r="G11" s="13">
        <v>0</v>
      </c>
      <c r="H11" s="14">
        <f t="shared" si="1"/>
        <v>0</v>
      </c>
    </row>
    <row r="12" ht="17" spans="1:8">
      <c r="A12" s="10" t="s">
        <v>97</v>
      </c>
      <c r="B12" s="11">
        <v>83.9</v>
      </c>
      <c r="C12" s="12" t="s">
        <v>95</v>
      </c>
      <c r="D12" s="13">
        <v>0</v>
      </c>
      <c r="E12" s="14">
        <f t="shared" si="0"/>
        <v>0</v>
      </c>
      <c r="F12" s="15" t="s">
        <v>98</v>
      </c>
      <c r="G12" s="16">
        <v>-100</v>
      </c>
      <c r="H12" s="14">
        <f t="shared" si="1"/>
        <v>-8.39</v>
      </c>
    </row>
    <row r="13" ht="17" spans="1:8">
      <c r="A13" s="10" t="s">
        <v>99</v>
      </c>
      <c r="B13" s="11">
        <v>84.8</v>
      </c>
      <c r="C13" s="12" t="s">
        <v>95</v>
      </c>
      <c r="D13" s="13">
        <v>0</v>
      </c>
      <c r="E13" s="14">
        <f t="shared" si="0"/>
        <v>0</v>
      </c>
      <c r="F13" s="15" t="s">
        <v>98</v>
      </c>
      <c r="G13" s="16">
        <v>-38.9</v>
      </c>
      <c r="H13" s="14">
        <f t="shared" si="1"/>
        <v>-3.29872</v>
      </c>
    </row>
    <row r="14" ht="17" spans="1:8">
      <c r="A14" s="10" t="s">
        <v>100</v>
      </c>
      <c r="B14" s="11">
        <v>91</v>
      </c>
      <c r="C14" s="12" t="s">
        <v>95</v>
      </c>
      <c r="D14" s="13">
        <v>0</v>
      </c>
      <c r="E14" s="14">
        <f t="shared" si="0"/>
        <v>0</v>
      </c>
      <c r="F14" s="12" t="s">
        <v>95</v>
      </c>
      <c r="G14" s="13">
        <v>0</v>
      </c>
      <c r="H14" s="14">
        <f t="shared" si="1"/>
        <v>0</v>
      </c>
    </row>
    <row r="15" ht="17" spans="1:8">
      <c r="A15" s="10" t="s">
        <v>101</v>
      </c>
      <c r="B15" s="11">
        <v>107.2</v>
      </c>
      <c r="C15" s="12" t="s">
        <v>95</v>
      </c>
      <c r="D15" s="13">
        <v>0</v>
      </c>
      <c r="E15" s="14">
        <f t="shared" si="0"/>
        <v>0</v>
      </c>
      <c r="F15" s="12" t="s">
        <v>95</v>
      </c>
      <c r="G15" s="13">
        <v>0</v>
      </c>
      <c r="H15" s="14">
        <f t="shared" si="1"/>
        <v>0</v>
      </c>
    </row>
    <row r="16" ht="17" spans="1:8">
      <c r="A16" s="10" t="s">
        <v>102</v>
      </c>
      <c r="B16" s="11">
        <v>90.4</v>
      </c>
      <c r="C16" s="12" t="s">
        <v>95</v>
      </c>
      <c r="D16" s="13">
        <v>0</v>
      </c>
      <c r="E16" s="14">
        <f t="shared" si="0"/>
        <v>0</v>
      </c>
      <c r="F16" s="12" t="s">
        <v>95</v>
      </c>
      <c r="G16" s="13">
        <v>0</v>
      </c>
      <c r="H16" s="14">
        <f t="shared" si="1"/>
        <v>0</v>
      </c>
    </row>
    <row r="17" ht="17" spans="1:8">
      <c r="A17" s="10" t="s">
        <v>103</v>
      </c>
      <c r="B17" s="11">
        <v>44.1</v>
      </c>
      <c r="C17" s="12" t="s">
        <v>95</v>
      </c>
      <c r="D17" s="13">
        <v>0</v>
      </c>
      <c r="E17" s="14">
        <f t="shared" si="0"/>
        <v>0</v>
      </c>
      <c r="F17" s="15" t="s">
        <v>98</v>
      </c>
      <c r="G17" s="16">
        <v>-100</v>
      </c>
      <c r="H17" s="14">
        <f t="shared" si="1"/>
        <v>-4.41</v>
      </c>
    </row>
    <row r="18" ht="17" spans="1:8">
      <c r="A18" s="10" t="s">
        <v>104</v>
      </c>
      <c r="B18" s="11">
        <v>36.1</v>
      </c>
      <c r="C18" s="12" t="s">
        <v>95</v>
      </c>
      <c r="D18" s="13">
        <v>0</v>
      </c>
      <c r="E18" s="14">
        <f t="shared" si="0"/>
        <v>0</v>
      </c>
      <c r="F18" s="17" t="s">
        <v>105</v>
      </c>
      <c r="G18" s="18">
        <v>0</v>
      </c>
      <c r="H18" s="14">
        <f t="shared" si="1"/>
        <v>0</v>
      </c>
    </row>
    <row r="19" ht="17" spans="1:8">
      <c r="A19" s="10" t="s">
        <v>106</v>
      </c>
      <c r="B19" s="11">
        <v>27.6</v>
      </c>
      <c r="C19" s="12" t="s">
        <v>95</v>
      </c>
      <c r="D19" s="13">
        <v>0</v>
      </c>
      <c r="E19" s="14">
        <f t="shared" si="0"/>
        <v>0</v>
      </c>
      <c r="F19" s="17" t="s">
        <v>105</v>
      </c>
      <c r="G19" s="18">
        <v>0</v>
      </c>
      <c r="H19" s="14">
        <f t="shared" si="1"/>
        <v>0</v>
      </c>
    </row>
    <row r="20" ht="17" spans="1:8">
      <c r="A20" s="10" t="s">
        <v>107</v>
      </c>
      <c r="B20" s="11">
        <v>21.6</v>
      </c>
      <c r="C20" s="15" t="s">
        <v>98</v>
      </c>
      <c r="D20" s="16">
        <v>-5</v>
      </c>
      <c r="E20" s="14">
        <f t="shared" si="0"/>
        <v>-0.108</v>
      </c>
      <c r="F20" s="17" t="s">
        <v>105</v>
      </c>
      <c r="G20" s="18">
        <v>0</v>
      </c>
      <c r="H20" s="14">
        <f t="shared" si="1"/>
        <v>0</v>
      </c>
    </row>
    <row r="21" ht="17" spans="1:8">
      <c r="A21" s="10" t="s">
        <v>108</v>
      </c>
      <c r="B21" s="11">
        <v>23.1</v>
      </c>
      <c r="C21" s="15" t="s">
        <v>98</v>
      </c>
      <c r="D21" s="16">
        <v>-5</v>
      </c>
      <c r="E21" s="14">
        <f t="shared" si="0"/>
        <v>-0.1155</v>
      </c>
      <c r="F21" s="17" t="s">
        <v>105</v>
      </c>
      <c r="G21" s="18">
        <v>0</v>
      </c>
      <c r="H21" s="14">
        <f t="shared" si="1"/>
        <v>0</v>
      </c>
    </row>
    <row r="22" ht="17" spans="1:8">
      <c r="A22" s="10" t="s">
        <v>109</v>
      </c>
      <c r="B22" s="11">
        <v>20.5</v>
      </c>
      <c r="C22" s="15" t="s">
        <v>98</v>
      </c>
      <c r="D22" s="16">
        <v>-5</v>
      </c>
      <c r="E22" s="14">
        <f t="shared" si="0"/>
        <v>-0.1025</v>
      </c>
      <c r="F22" s="17" t="s">
        <v>105</v>
      </c>
      <c r="G22" s="18">
        <v>0</v>
      </c>
      <c r="H22" s="14">
        <f t="shared" si="1"/>
        <v>0</v>
      </c>
    </row>
    <row r="23" ht="17" spans="1:8">
      <c r="A23" s="10" t="s">
        <v>110</v>
      </c>
      <c r="B23" s="11">
        <v>40.3</v>
      </c>
      <c r="C23" s="12" t="s">
        <v>95</v>
      </c>
      <c r="D23" s="13">
        <v>0</v>
      </c>
      <c r="E23" s="14">
        <f t="shared" si="0"/>
        <v>0</v>
      </c>
      <c r="F23" s="17" t="s">
        <v>105</v>
      </c>
      <c r="G23" s="18">
        <v>0</v>
      </c>
      <c r="H23" s="14">
        <f t="shared" si="1"/>
        <v>0</v>
      </c>
    </row>
    <row r="24" ht="17" spans="1:8">
      <c r="A24" s="10" t="s">
        <v>111</v>
      </c>
      <c r="B24" s="11">
        <v>109.4</v>
      </c>
      <c r="C24" s="12" t="s">
        <v>95</v>
      </c>
      <c r="D24" s="13">
        <v>0</v>
      </c>
      <c r="E24" s="14">
        <f t="shared" si="0"/>
        <v>0</v>
      </c>
      <c r="F24" s="17" t="s">
        <v>105</v>
      </c>
      <c r="G24" s="18">
        <v>0</v>
      </c>
      <c r="H24" s="14">
        <f t="shared" si="1"/>
        <v>0</v>
      </c>
    </row>
    <row r="25" ht="17" spans="1:8">
      <c r="A25" s="10" t="s">
        <v>112</v>
      </c>
      <c r="B25" s="11">
        <v>67</v>
      </c>
      <c r="C25" s="12" t="s">
        <v>95</v>
      </c>
      <c r="D25" s="13">
        <v>0</v>
      </c>
      <c r="E25" s="14">
        <f t="shared" si="0"/>
        <v>0</v>
      </c>
      <c r="F25" s="17" t="s">
        <v>105</v>
      </c>
      <c r="G25" s="18">
        <v>0</v>
      </c>
      <c r="H25" s="14">
        <f t="shared" si="1"/>
        <v>0</v>
      </c>
    </row>
    <row r="26" ht="17" spans="1:8">
      <c r="A26" s="10" t="s">
        <v>113</v>
      </c>
      <c r="B26" s="11">
        <v>98.3</v>
      </c>
      <c r="C26" s="12" t="s">
        <v>95</v>
      </c>
      <c r="D26" s="13">
        <v>0</v>
      </c>
      <c r="E26" s="14">
        <f t="shared" si="0"/>
        <v>0</v>
      </c>
      <c r="F26" s="17" t="s">
        <v>105</v>
      </c>
      <c r="G26" s="18">
        <v>0</v>
      </c>
      <c r="H26" s="14">
        <f t="shared" si="1"/>
        <v>0</v>
      </c>
    </row>
    <row r="27" ht="17" spans="1:8">
      <c r="A27" s="10" t="s">
        <v>114</v>
      </c>
      <c r="B27" s="11">
        <v>205.9</v>
      </c>
      <c r="C27" s="19" t="s">
        <v>115</v>
      </c>
      <c r="D27" s="20">
        <v>5</v>
      </c>
      <c r="E27" s="14">
        <f t="shared" si="0"/>
        <v>1.0295</v>
      </c>
      <c r="F27" s="19" t="s">
        <v>115</v>
      </c>
      <c r="G27" s="20">
        <v>100</v>
      </c>
      <c r="H27" s="14">
        <f t="shared" si="1"/>
        <v>20.59</v>
      </c>
    </row>
    <row r="28" ht="17" spans="1:8">
      <c r="A28" s="10" t="s">
        <v>116</v>
      </c>
      <c r="B28" s="11">
        <v>211.6</v>
      </c>
      <c r="C28" s="19" t="s">
        <v>115</v>
      </c>
      <c r="D28" s="20">
        <v>5</v>
      </c>
      <c r="E28" s="14">
        <f t="shared" si="0"/>
        <v>1.058</v>
      </c>
      <c r="F28" s="19" t="s">
        <v>115</v>
      </c>
      <c r="G28" s="20">
        <v>100</v>
      </c>
      <c r="H28" s="14">
        <f t="shared" si="1"/>
        <v>21.16</v>
      </c>
    </row>
    <row r="29" ht="17" spans="1:8">
      <c r="A29" s="10" t="s">
        <v>117</v>
      </c>
      <c r="B29" s="11">
        <v>161.6</v>
      </c>
      <c r="C29" s="19" t="s">
        <v>115</v>
      </c>
      <c r="D29" s="20">
        <v>3.5</v>
      </c>
      <c r="E29" s="14">
        <f t="shared" si="0"/>
        <v>0.5656</v>
      </c>
      <c r="F29" s="19" t="s">
        <v>115</v>
      </c>
      <c r="G29" s="20">
        <v>15</v>
      </c>
      <c r="H29" s="14">
        <f t="shared" si="1"/>
        <v>2.424</v>
      </c>
    </row>
    <row r="30" ht="17" spans="1:8">
      <c r="A30" s="10" t="s">
        <v>118</v>
      </c>
      <c r="B30" s="11">
        <v>112.7</v>
      </c>
      <c r="C30" s="12" t="s">
        <v>95</v>
      </c>
      <c r="D30" s="13">
        <v>0</v>
      </c>
      <c r="E30" s="14">
        <f t="shared" si="0"/>
        <v>0</v>
      </c>
      <c r="F30" s="12" t="s">
        <v>95</v>
      </c>
      <c r="G30" s="13">
        <v>0</v>
      </c>
      <c r="H30" s="14">
        <f t="shared" si="1"/>
        <v>0</v>
      </c>
    </row>
    <row r="31" ht="17" spans="1:8">
      <c r="A31" s="10" t="s">
        <v>119</v>
      </c>
      <c r="B31" s="11">
        <v>104.6</v>
      </c>
      <c r="C31" s="12" t="s">
        <v>95</v>
      </c>
      <c r="D31" s="13">
        <v>0</v>
      </c>
      <c r="E31" s="14">
        <f t="shared" si="0"/>
        <v>0</v>
      </c>
      <c r="F31" s="12" t="s">
        <v>95</v>
      </c>
      <c r="G31" s="13">
        <v>0</v>
      </c>
      <c r="H31" s="14">
        <f t="shared" si="1"/>
        <v>0</v>
      </c>
    </row>
    <row r="32" ht="17" spans="1:8">
      <c r="A32" s="10" t="s">
        <v>120</v>
      </c>
      <c r="B32" s="11">
        <v>101.8</v>
      </c>
      <c r="C32" s="12" t="s">
        <v>95</v>
      </c>
      <c r="D32" s="13">
        <v>0</v>
      </c>
      <c r="E32" s="14">
        <f t="shared" si="0"/>
        <v>0</v>
      </c>
      <c r="F32" s="12" t="s">
        <v>95</v>
      </c>
      <c r="G32" s="13">
        <v>0</v>
      </c>
      <c r="H32" s="14">
        <f t="shared" si="1"/>
        <v>0</v>
      </c>
    </row>
    <row r="33" ht="17" spans="1:8">
      <c r="A33" s="10" t="s">
        <v>121</v>
      </c>
      <c r="B33" s="11">
        <v>95.8</v>
      </c>
      <c r="C33" s="12" t="s">
        <v>95</v>
      </c>
      <c r="D33" s="13">
        <v>0</v>
      </c>
      <c r="E33" s="14">
        <f t="shared" si="0"/>
        <v>0</v>
      </c>
      <c r="F33" s="12" t="s">
        <v>95</v>
      </c>
      <c r="G33" s="13">
        <v>0</v>
      </c>
      <c r="H33" s="14">
        <f t="shared" si="1"/>
        <v>0</v>
      </c>
    </row>
    <row r="34" spans="1:8">
      <c r="A34" s="21" t="s">
        <v>122</v>
      </c>
      <c r="B34" s="21"/>
      <c r="C34" s="21"/>
      <c r="D34" s="21"/>
      <c r="E34" s="22">
        <f>SUM(E10:E33)</f>
        <v>2.3271</v>
      </c>
      <c r="F34" s="23"/>
      <c r="G34" s="23"/>
      <c r="H34" s="22">
        <f>SUM(H10:H33)</f>
        <v>28.07528</v>
      </c>
    </row>
    <row r="35" spans="1:8">
      <c r="A35" s="24" t="s">
        <v>123</v>
      </c>
      <c r="B35" s="24"/>
      <c r="C35" s="24"/>
      <c r="D35" s="24"/>
      <c r="E35" s="22">
        <f>单位经济性测算!$B$8/(365*0.9)</f>
        <v>0.544901065449011</v>
      </c>
      <c r="F35" s="23"/>
      <c r="G35" s="23"/>
      <c r="H35" s="22">
        <f>单位经济性测算!$C$8/(365*0.9)</f>
        <v>11.5981735159817</v>
      </c>
    </row>
    <row r="36" ht="17" spans="1:8">
      <c r="A36" s="25" t="s">
        <v>124</v>
      </c>
      <c r="B36" s="25"/>
      <c r="C36" s="25"/>
      <c r="D36" s="25"/>
      <c r="E36" s="26">
        <f>E34+E35</f>
        <v>2.87200106544901</v>
      </c>
      <c r="F36" s="27"/>
      <c r="G36" s="27"/>
      <c r="H36" s="26">
        <f>H34+H35</f>
        <v>39.6734535159817</v>
      </c>
    </row>
    <row r="37" spans="1:8">
      <c r="A37" s="21" t="s">
        <v>125</v>
      </c>
      <c r="B37" s="21"/>
      <c r="C37" s="21"/>
      <c r="D37" s="21"/>
      <c r="E37" s="22">
        <f>E36*测算总览!$B$13</f>
        <v>0.861600319634703</v>
      </c>
      <c r="F37" s="23"/>
      <c r="G37" s="23"/>
      <c r="H37" s="22">
        <f>H36*测算总览!$B$13</f>
        <v>11.9020360547945</v>
      </c>
    </row>
    <row r="38" spans="1:8">
      <c r="A38" s="28" t="s">
        <v>126</v>
      </c>
      <c r="B38" s="28"/>
      <c r="C38" s="28"/>
      <c r="D38" s="28"/>
      <c r="E38" s="29">
        <f>E36*365</f>
        <v>1048.28038888889</v>
      </c>
      <c r="F38" s="23"/>
      <c r="G38" s="23"/>
      <c r="H38" s="29">
        <f>H36*365</f>
        <v>14480.8105333333</v>
      </c>
    </row>
    <row r="40" spans="1:8">
      <c r="A40" s="2" t="s">
        <v>127</v>
      </c>
    </row>
  </sheetData>
  <mergeCells count="6">
    <mergeCell ref="A1:H1"/>
    <mergeCell ref="A34:D34"/>
    <mergeCell ref="A35:D35"/>
    <mergeCell ref="A36:D36"/>
    <mergeCell ref="A37:D37"/>
    <mergeCell ref="A38:D38"/>
  </mergeCells>
  <pageMargins left="0.75" right="0.75" top="1" bottom="1" header="0.511811023622047" footer="0.511811023622047"/>
  <pageSetup paperSize="1" fitToHeight="0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LibreOffice/26.2.4.2$Linux_AARCH64 LibreOffice_project/620$Build-2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测算总览</vt:lpstr>
      <vt:lpstr>单位经济性测算</vt:lpstr>
      <vt:lpstr>聚合规模与收益</vt:lpstr>
      <vt:lpstr>增长轨迹</vt:lpstr>
      <vt:lpstr>典型日演示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女妖轰炸机</cp:lastModifiedBy>
  <cp:revision>1</cp:revision>
  <dcterms:created xsi:type="dcterms:W3CDTF">2026-06-16T22:22:00Z</dcterms:created>
  <dcterms:modified xsi:type="dcterms:W3CDTF">2026-06-16T22:26:02Z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3ADD15FF90F0E7BFFA5C316A1EF1B36D_42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